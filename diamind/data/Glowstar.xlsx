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shau\diamind\raw_data\"/>
    </mc:Choice>
  </mc:AlternateContent>
  <xr:revisionPtr revIDLastSave="0" documentId="13_ncr:1_{265DC4BC-47B5-44EE-8CAD-F81CF61E6F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Sheet1!$U$1:$BH$1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2" i="1" l="1"/>
  <c r="AW2" i="1"/>
  <c r="AX2" i="1"/>
  <c r="AZ2" i="1"/>
  <c r="AV3" i="1"/>
  <c r="AW3" i="1"/>
  <c r="AX3" i="1"/>
  <c r="AZ3" i="1"/>
  <c r="AV4" i="1"/>
  <c r="AW4" i="1"/>
  <c r="AX4" i="1"/>
  <c r="AZ4" i="1"/>
  <c r="AV5" i="1"/>
  <c r="AW5" i="1"/>
  <c r="AX5" i="1"/>
  <c r="AZ5" i="1"/>
  <c r="AV6" i="1"/>
  <c r="AW6" i="1"/>
  <c r="AX6" i="1"/>
  <c r="AZ6" i="1"/>
  <c r="AV7" i="1"/>
  <c r="AW7" i="1"/>
  <c r="AX7" i="1"/>
  <c r="AZ7" i="1"/>
  <c r="AV8" i="1"/>
  <c r="AW8" i="1"/>
  <c r="AX8" i="1"/>
  <c r="AZ8" i="1"/>
  <c r="AV9" i="1"/>
  <c r="AW9" i="1"/>
  <c r="AX9" i="1"/>
  <c r="AZ9" i="1"/>
  <c r="AV10" i="1"/>
  <c r="AW10" i="1"/>
  <c r="AX10" i="1"/>
  <c r="AZ10" i="1"/>
  <c r="AV11" i="1"/>
  <c r="AW11" i="1"/>
  <c r="AX11" i="1"/>
  <c r="AZ11" i="1"/>
  <c r="AV12" i="1"/>
  <c r="AW12" i="1"/>
  <c r="AX12" i="1"/>
  <c r="AZ12" i="1"/>
  <c r="AV13" i="1"/>
  <c r="AW13" i="1"/>
  <c r="AX13" i="1"/>
  <c r="AZ13" i="1"/>
  <c r="AV14" i="1"/>
  <c r="AW14" i="1"/>
  <c r="AX14" i="1"/>
  <c r="AZ14" i="1"/>
  <c r="AV15" i="1"/>
  <c r="AW15" i="1"/>
  <c r="AX15" i="1"/>
  <c r="AZ15" i="1"/>
  <c r="AV16" i="1"/>
  <c r="AW16" i="1"/>
  <c r="AX16" i="1"/>
  <c r="AZ16" i="1"/>
  <c r="AV17" i="1"/>
  <c r="AW17" i="1"/>
  <c r="AX17" i="1"/>
  <c r="AZ17" i="1"/>
  <c r="AV18" i="1"/>
  <c r="AW18" i="1"/>
  <c r="AX18" i="1"/>
  <c r="AZ18" i="1"/>
  <c r="AV19" i="1"/>
  <c r="AW19" i="1"/>
  <c r="AX19" i="1"/>
  <c r="AZ19" i="1"/>
  <c r="AV20" i="1"/>
  <c r="AW20" i="1"/>
  <c r="AX20" i="1"/>
  <c r="AZ20" i="1"/>
  <c r="AV21" i="1"/>
  <c r="AW21" i="1"/>
  <c r="AX21" i="1"/>
  <c r="AZ21" i="1"/>
  <c r="AV22" i="1"/>
  <c r="AW22" i="1"/>
  <c r="AX22" i="1"/>
  <c r="AZ22" i="1"/>
  <c r="AV23" i="1"/>
  <c r="AW23" i="1"/>
  <c r="AX23" i="1"/>
  <c r="AZ23" i="1"/>
  <c r="AV24" i="1"/>
  <c r="AW24" i="1"/>
  <c r="AX24" i="1"/>
  <c r="AZ24" i="1"/>
  <c r="AV25" i="1"/>
  <c r="AW25" i="1"/>
  <c r="AX25" i="1"/>
  <c r="AZ25" i="1"/>
  <c r="AV26" i="1"/>
  <c r="AW26" i="1"/>
  <c r="AX26" i="1"/>
  <c r="AZ26" i="1"/>
  <c r="AV27" i="1"/>
  <c r="AW27" i="1"/>
  <c r="AX27" i="1"/>
  <c r="AZ27" i="1"/>
  <c r="AV28" i="1"/>
  <c r="AW28" i="1"/>
  <c r="AX28" i="1"/>
  <c r="AZ28" i="1"/>
  <c r="AV29" i="1"/>
  <c r="AW29" i="1"/>
  <c r="AX29" i="1"/>
  <c r="AZ29" i="1"/>
  <c r="AV30" i="1"/>
  <c r="AW30" i="1"/>
  <c r="AX30" i="1"/>
  <c r="AZ30" i="1"/>
  <c r="AV31" i="1"/>
  <c r="AW31" i="1"/>
  <c r="AX31" i="1"/>
  <c r="AZ31" i="1"/>
  <c r="AV32" i="1"/>
  <c r="AW32" i="1"/>
  <c r="AX32" i="1"/>
  <c r="AZ32" i="1"/>
  <c r="AV33" i="1"/>
  <c r="AW33" i="1"/>
  <c r="AX33" i="1"/>
  <c r="AZ33" i="1"/>
  <c r="AV34" i="1"/>
  <c r="AW34" i="1"/>
  <c r="AX34" i="1"/>
  <c r="AZ34" i="1"/>
  <c r="AV35" i="1"/>
  <c r="AW35" i="1"/>
  <c r="AX35" i="1"/>
  <c r="AZ35" i="1"/>
  <c r="AV36" i="1"/>
  <c r="AW36" i="1"/>
  <c r="AX36" i="1"/>
  <c r="AZ36" i="1"/>
  <c r="AV37" i="1"/>
  <c r="AW37" i="1"/>
  <c r="AX37" i="1"/>
  <c r="AZ37" i="1"/>
  <c r="AV38" i="1"/>
  <c r="AW38" i="1"/>
  <c r="AX38" i="1"/>
  <c r="AZ38" i="1"/>
  <c r="AZ39" i="1"/>
  <c r="AV40" i="1"/>
  <c r="AW40" i="1"/>
  <c r="AX40" i="1"/>
  <c r="AZ40" i="1"/>
  <c r="AV41" i="1"/>
  <c r="AW41" i="1"/>
  <c r="AX41" i="1"/>
  <c r="AZ41" i="1"/>
  <c r="AV42" i="1"/>
  <c r="AW42" i="1"/>
  <c r="AX42" i="1"/>
  <c r="AZ42" i="1"/>
  <c r="AV43" i="1"/>
  <c r="AW43" i="1"/>
  <c r="AX43" i="1"/>
  <c r="AV44" i="1"/>
  <c r="AW44" i="1"/>
  <c r="AX44" i="1"/>
  <c r="AZ44" i="1"/>
  <c r="AV45" i="1"/>
  <c r="AW45" i="1"/>
  <c r="AX45" i="1"/>
  <c r="AZ45" i="1"/>
  <c r="AV46" i="1"/>
  <c r="AW46" i="1"/>
  <c r="AX46" i="1"/>
  <c r="AZ46" i="1"/>
  <c r="AV47" i="1"/>
  <c r="AW47" i="1"/>
  <c r="AX47" i="1"/>
  <c r="AZ47" i="1"/>
  <c r="AV49" i="1"/>
  <c r="AW49" i="1"/>
  <c r="AX49" i="1"/>
  <c r="AZ49" i="1"/>
  <c r="AV50" i="1"/>
  <c r="AW50" i="1"/>
  <c r="AX50" i="1"/>
  <c r="AZ50" i="1"/>
  <c r="AV51" i="1"/>
  <c r="AW51" i="1"/>
  <c r="AX51" i="1"/>
  <c r="AZ51" i="1"/>
  <c r="AV52" i="1"/>
  <c r="AW52" i="1"/>
  <c r="AX52" i="1"/>
  <c r="AZ52" i="1"/>
  <c r="AV53" i="1"/>
  <c r="AW53" i="1"/>
  <c r="AX53" i="1"/>
  <c r="AZ53" i="1"/>
  <c r="AV54" i="1"/>
  <c r="AW54" i="1"/>
  <c r="AX54" i="1"/>
  <c r="AZ54" i="1"/>
  <c r="AV55" i="1"/>
  <c r="AW55" i="1"/>
  <c r="AX55" i="1"/>
  <c r="AZ55" i="1"/>
  <c r="AV56" i="1"/>
  <c r="AW56" i="1"/>
  <c r="AX56" i="1"/>
  <c r="AZ56" i="1"/>
  <c r="AV57" i="1"/>
  <c r="AW57" i="1"/>
  <c r="AX57" i="1"/>
  <c r="AZ57" i="1"/>
  <c r="AV58" i="1"/>
  <c r="AW58" i="1"/>
  <c r="AX58" i="1"/>
  <c r="AZ58" i="1"/>
  <c r="AV59" i="1"/>
  <c r="AW59" i="1"/>
  <c r="AX59" i="1"/>
  <c r="AZ59" i="1"/>
  <c r="AV60" i="1"/>
  <c r="AW60" i="1"/>
  <c r="AX60" i="1"/>
  <c r="AZ60" i="1"/>
  <c r="AV61" i="1"/>
  <c r="AW61" i="1"/>
  <c r="AX61" i="1"/>
  <c r="AZ61" i="1"/>
  <c r="AV62" i="1"/>
  <c r="AW62" i="1"/>
  <c r="AX62" i="1"/>
  <c r="AZ62" i="1"/>
  <c r="AV63" i="1"/>
  <c r="AW63" i="1"/>
  <c r="AX63" i="1"/>
  <c r="AZ63" i="1"/>
  <c r="AV64" i="1"/>
  <c r="AW64" i="1"/>
  <c r="AX64" i="1"/>
  <c r="AZ64" i="1"/>
  <c r="AV65" i="1"/>
  <c r="AW65" i="1"/>
  <c r="AX65" i="1"/>
  <c r="AZ65" i="1"/>
  <c r="AV66" i="1"/>
  <c r="AW66" i="1"/>
  <c r="AX66" i="1"/>
  <c r="AZ66" i="1"/>
  <c r="AV67" i="1"/>
  <c r="AW67" i="1"/>
  <c r="AX67" i="1"/>
  <c r="AZ67" i="1"/>
  <c r="AV68" i="1"/>
  <c r="AW68" i="1"/>
  <c r="AX68" i="1"/>
  <c r="AZ68" i="1"/>
  <c r="AV69" i="1"/>
  <c r="AW69" i="1"/>
  <c r="AX69" i="1"/>
  <c r="AZ69" i="1"/>
  <c r="AV70" i="1"/>
  <c r="AW70" i="1"/>
  <c r="AX70" i="1"/>
  <c r="AZ70" i="1"/>
  <c r="AV71" i="1"/>
  <c r="AW71" i="1"/>
  <c r="AX71" i="1"/>
  <c r="AZ71" i="1"/>
  <c r="AV72" i="1"/>
  <c r="AW72" i="1"/>
  <c r="AX72" i="1"/>
  <c r="AZ72" i="1"/>
  <c r="AV73" i="1"/>
  <c r="AW73" i="1"/>
  <c r="AX73" i="1"/>
  <c r="AZ73" i="1"/>
  <c r="AV74" i="1"/>
  <c r="AW74" i="1"/>
  <c r="AX74" i="1"/>
  <c r="AZ74" i="1"/>
  <c r="AV75" i="1"/>
  <c r="AW75" i="1"/>
  <c r="AX75" i="1"/>
  <c r="AZ75" i="1"/>
  <c r="AV76" i="1"/>
  <c r="AW76" i="1"/>
  <c r="AX76" i="1"/>
  <c r="AZ76" i="1"/>
  <c r="AV77" i="1"/>
  <c r="AW77" i="1"/>
  <c r="AX77" i="1"/>
  <c r="AZ77" i="1"/>
  <c r="AV78" i="1"/>
  <c r="AW78" i="1"/>
  <c r="AX78" i="1"/>
  <c r="AZ78" i="1"/>
  <c r="AV79" i="1"/>
  <c r="AW79" i="1"/>
  <c r="AX79" i="1"/>
  <c r="AZ79" i="1"/>
  <c r="AV80" i="1"/>
  <c r="AW80" i="1"/>
  <c r="AX80" i="1"/>
  <c r="AZ80" i="1"/>
  <c r="AV81" i="1"/>
  <c r="AW81" i="1"/>
  <c r="AX81" i="1"/>
  <c r="AZ81" i="1"/>
  <c r="AV82" i="1"/>
  <c r="AW82" i="1"/>
  <c r="AX82" i="1"/>
  <c r="AZ82" i="1"/>
  <c r="AV83" i="1"/>
  <c r="AW83" i="1"/>
  <c r="AX83" i="1"/>
  <c r="AZ83" i="1"/>
  <c r="AV84" i="1"/>
  <c r="AW84" i="1"/>
  <c r="AX84" i="1"/>
  <c r="AZ84" i="1"/>
  <c r="AV85" i="1"/>
  <c r="AW85" i="1"/>
  <c r="AX85" i="1"/>
  <c r="AZ85" i="1"/>
  <c r="AV86" i="1"/>
  <c r="AW86" i="1"/>
  <c r="AX86" i="1"/>
  <c r="AZ86" i="1"/>
  <c r="AV87" i="1"/>
  <c r="AW87" i="1"/>
  <c r="AX87" i="1"/>
  <c r="AZ87" i="1"/>
  <c r="AV88" i="1"/>
  <c r="AW88" i="1"/>
  <c r="AX88" i="1"/>
  <c r="AZ88" i="1"/>
  <c r="AV89" i="1"/>
  <c r="AW89" i="1"/>
  <c r="AX89" i="1"/>
  <c r="AZ89" i="1"/>
  <c r="AV90" i="1"/>
  <c r="AW90" i="1"/>
  <c r="AX90" i="1"/>
  <c r="AZ90" i="1"/>
  <c r="AV91" i="1"/>
  <c r="AW91" i="1"/>
  <c r="AX91" i="1"/>
  <c r="AZ91" i="1"/>
  <c r="AV92" i="1"/>
  <c r="AW92" i="1"/>
  <c r="AX92" i="1"/>
  <c r="AZ92" i="1"/>
  <c r="AV93" i="1"/>
  <c r="AW93" i="1"/>
  <c r="AX93" i="1"/>
  <c r="AZ93" i="1"/>
  <c r="AV94" i="1"/>
  <c r="AW94" i="1"/>
  <c r="AX94" i="1"/>
  <c r="AZ94" i="1"/>
  <c r="AV95" i="1"/>
  <c r="AW95" i="1"/>
  <c r="AX95" i="1"/>
  <c r="AZ95" i="1"/>
  <c r="AV96" i="1"/>
  <c r="AW96" i="1"/>
  <c r="AX96" i="1"/>
  <c r="AZ96" i="1"/>
  <c r="AV97" i="1"/>
  <c r="AW97" i="1"/>
  <c r="AX97" i="1"/>
  <c r="AZ97" i="1"/>
  <c r="AV98" i="1"/>
  <c r="AW98" i="1"/>
  <c r="AX98" i="1"/>
  <c r="AZ98" i="1"/>
  <c r="AV99" i="1"/>
  <c r="AW99" i="1"/>
  <c r="AX99" i="1"/>
  <c r="AZ99" i="1"/>
  <c r="AV100" i="1"/>
  <c r="AW100" i="1"/>
  <c r="AX100" i="1"/>
  <c r="AZ100" i="1"/>
  <c r="AV101" i="1"/>
  <c r="AW101" i="1"/>
  <c r="AX101" i="1"/>
  <c r="AZ101" i="1"/>
  <c r="AV102" i="1"/>
  <c r="AW102" i="1"/>
  <c r="AX102" i="1"/>
  <c r="AZ102" i="1"/>
  <c r="AV103" i="1"/>
  <c r="AW103" i="1"/>
  <c r="AX103" i="1"/>
  <c r="AZ103" i="1"/>
  <c r="AV104" i="1"/>
  <c r="AW104" i="1"/>
  <c r="AX104" i="1"/>
  <c r="AZ104" i="1"/>
  <c r="AV105" i="1"/>
  <c r="AW105" i="1"/>
  <c r="AX105" i="1"/>
  <c r="AZ105" i="1"/>
  <c r="AV106" i="1"/>
  <c r="AW106" i="1"/>
  <c r="AX106" i="1"/>
  <c r="AZ106" i="1"/>
  <c r="AV107" i="1"/>
  <c r="AW107" i="1"/>
  <c r="AX107" i="1"/>
  <c r="AZ107" i="1"/>
  <c r="AV108" i="1"/>
  <c r="AW108" i="1"/>
  <c r="AX108" i="1"/>
  <c r="AZ108" i="1"/>
  <c r="AV109" i="1"/>
  <c r="AW109" i="1"/>
  <c r="AX109" i="1"/>
  <c r="AZ109" i="1"/>
  <c r="AV110" i="1"/>
  <c r="AW110" i="1"/>
  <c r="AX110" i="1"/>
  <c r="AZ110" i="1"/>
  <c r="AV111" i="1"/>
  <c r="AW111" i="1"/>
  <c r="AX111" i="1"/>
  <c r="AZ111" i="1"/>
  <c r="AV112" i="1"/>
  <c r="AW112" i="1"/>
  <c r="AX112" i="1"/>
  <c r="AZ112" i="1"/>
  <c r="AV113" i="1"/>
  <c r="AW113" i="1"/>
  <c r="AX113" i="1"/>
  <c r="AZ113" i="1"/>
  <c r="AV114" i="1"/>
  <c r="AW114" i="1"/>
  <c r="AX114" i="1"/>
  <c r="AZ114" i="1"/>
  <c r="AV115" i="1"/>
  <c r="AW115" i="1"/>
  <c r="AX115" i="1"/>
  <c r="AZ115" i="1"/>
  <c r="AV116" i="1"/>
  <c r="AW116" i="1"/>
  <c r="AX116" i="1"/>
  <c r="AZ116" i="1"/>
  <c r="AV117" i="1"/>
  <c r="AW117" i="1"/>
  <c r="AX117" i="1"/>
  <c r="AZ117" i="1"/>
  <c r="AV118" i="1"/>
  <c r="AW118" i="1"/>
  <c r="AX118" i="1"/>
  <c r="AZ118" i="1"/>
  <c r="AV119" i="1"/>
  <c r="AW119" i="1"/>
  <c r="AX119" i="1"/>
  <c r="AZ119" i="1"/>
  <c r="AV120" i="1"/>
  <c r="AW120" i="1"/>
  <c r="AX120" i="1"/>
  <c r="AZ120" i="1"/>
  <c r="AV121" i="1"/>
  <c r="AW121" i="1"/>
  <c r="AX121" i="1"/>
  <c r="AZ121" i="1"/>
  <c r="AV122" i="1"/>
  <c r="AW122" i="1"/>
  <c r="AX122" i="1"/>
  <c r="AZ122" i="1"/>
  <c r="AV123" i="1"/>
  <c r="AW123" i="1"/>
  <c r="AX123" i="1"/>
  <c r="AZ123" i="1"/>
  <c r="AV124" i="1"/>
  <c r="AW124" i="1"/>
  <c r="AX124" i="1"/>
  <c r="AZ124" i="1"/>
  <c r="AV125" i="1"/>
  <c r="AW125" i="1"/>
  <c r="AX125" i="1"/>
  <c r="AZ125" i="1"/>
  <c r="AV126" i="1"/>
  <c r="AW126" i="1"/>
  <c r="AX126" i="1"/>
  <c r="AZ126" i="1"/>
  <c r="AV127" i="1"/>
  <c r="AW127" i="1"/>
  <c r="AX127" i="1"/>
  <c r="AZ127" i="1"/>
  <c r="AV128" i="1"/>
  <c r="AW128" i="1"/>
  <c r="AX128" i="1"/>
  <c r="AZ128" i="1"/>
  <c r="AV129" i="1"/>
  <c r="AW129" i="1"/>
  <c r="AX129" i="1"/>
  <c r="AZ129" i="1"/>
  <c r="AV130" i="1"/>
  <c r="AW130" i="1"/>
  <c r="AX130" i="1"/>
  <c r="AZ130" i="1"/>
  <c r="AV131" i="1"/>
  <c r="AW131" i="1"/>
  <c r="AX131" i="1"/>
  <c r="AZ131" i="1"/>
  <c r="AV132" i="1"/>
  <c r="AW132" i="1"/>
  <c r="AX132" i="1"/>
  <c r="AZ132" i="1"/>
  <c r="Z6" i="1" l="1"/>
  <c r="X6" i="1"/>
  <c r="W6" i="1"/>
  <c r="V6" i="1"/>
  <c r="Z132" i="1"/>
  <c r="X132" i="1"/>
  <c r="W132" i="1"/>
  <c r="V132" i="1"/>
  <c r="Z57" i="1"/>
  <c r="X57" i="1"/>
  <c r="W57" i="1"/>
  <c r="V57" i="1"/>
  <c r="Z37" i="1"/>
  <c r="X37" i="1"/>
  <c r="W37" i="1"/>
  <c r="V37" i="1"/>
  <c r="Z56" i="1"/>
  <c r="X56" i="1"/>
  <c r="W56" i="1"/>
  <c r="V56" i="1"/>
  <c r="Z36" i="1"/>
  <c r="X36" i="1"/>
  <c r="W36" i="1"/>
  <c r="V36" i="1"/>
  <c r="Z11" i="1"/>
  <c r="X11" i="1"/>
  <c r="W11" i="1"/>
  <c r="V11" i="1"/>
  <c r="Z131" i="1"/>
  <c r="X131" i="1"/>
  <c r="W131" i="1"/>
  <c r="V131" i="1"/>
  <c r="Z66" i="1"/>
  <c r="X66" i="1"/>
  <c r="W66" i="1"/>
  <c r="V66" i="1"/>
  <c r="Z65" i="1"/>
  <c r="X65" i="1"/>
  <c r="W65" i="1"/>
  <c r="V65" i="1"/>
  <c r="Z22" i="1"/>
  <c r="X22" i="1"/>
  <c r="W22" i="1"/>
  <c r="V22" i="1"/>
  <c r="Z18" i="1"/>
  <c r="X18" i="1"/>
  <c r="W18" i="1"/>
  <c r="V18" i="1"/>
  <c r="Z130" i="1"/>
  <c r="X130" i="1"/>
  <c r="W130" i="1"/>
  <c r="V130" i="1"/>
  <c r="Z10" i="1"/>
  <c r="X10" i="1"/>
  <c r="W10" i="1"/>
  <c r="V10" i="1"/>
  <c r="Z32" i="1"/>
  <c r="X32" i="1"/>
  <c r="W32" i="1"/>
  <c r="V32" i="1"/>
  <c r="Z90" i="1"/>
  <c r="X90" i="1"/>
  <c r="W90" i="1"/>
  <c r="V90" i="1"/>
  <c r="Z129" i="1"/>
  <c r="X129" i="1"/>
  <c r="W129" i="1"/>
  <c r="V129" i="1"/>
  <c r="Z24" i="1"/>
  <c r="X24" i="1"/>
  <c r="W24" i="1"/>
  <c r="V24" i="1"/>
  <c r="Z39" i="1"/>
  <c r="X43" i="1"/>
  <c r="W43" i="1"/>
  <c r="V43" i="1"/>
  <c r="Z128" i="1"/>
  <c r="X128" i="1"/>
  <c r="W128" i="1"/>
  <c r="V128" i="1"/>
  <c r="Z127" i="1"/>
  <c r="X127" i="1"/>
  <c r="W127" i="1"/>
  <c r="V127" i="1"/>
  <c r="Z126" i="1"/>
  <c r="X126" i="1"/>
  <c r="W126" i="1"/>
  <c r="V126" i="1"/>
  <c r="Z34" i="1"/>
  <c r="X34" i="1"/>
  <c r="W34" i="1"/>
  <c r="V34" i="1"/>
  <c r="Z38" i="1"/>
  <c r="X38" i="1"/>
  <c r="W38" i="1"/>
  <c r="V38" i="1"/>
  <c r="Z51" i="1"/>
  <c r="X51" i="1"/>
  <c r="W51" i="1"/>
  <c r="V51" i="1"/>
  <c r="Z46" i="1"/>
  <c r="X46" i="1"/>
  <c r="W46" i="1"/>
  <c r="V46" i="1"/>
  <c r="Z125" i="1"/>
  <c r="X125" i="1"/>
  <c r="W125" i="1"/>
  <c r="V125" i="1"/>
  <c r="Z27" i="1"/>
  <c r="X27" i="1"/>
  <c r="W27" i="1"/>
  <c r="V27" i="1"/>
  <c r="Z89" i="1"/>
  <c r="X89" i="1"/>
  <c r="W89" i="1"/>
  <c r="V89" i="1"/>
  <c r="Z21" i="1"/>
  <c r="X21" i="1"/>
  <c r="W21" i="1"/>
  <c r="V21" i="1"/>
  <c r="Z124" i="1"/>
  <c r="X124" i="1"/>
  <c r="W124" i="1"/>
  <c r="V124" i="1"/>
  <c r="Z88" i="1"/>
  <c r="X88" i="1"/>
  <c r="W88" i="1"/>
  <c r="V88" i="1"/>
  <c r="Z123" i="1"/>
  <c r="X123" i="1"/>
  <c r="W123" i="1"/>
  <c r="V123" i="1"/>
  <c r="Z26" i="1"/>
  <c r="X26" i="1"/>
  <c r="W26" i="1"/>
  <c r="V26" i="1"/>
  <c r="Z64" i="1"/>
  <c r="X64" i="1"/>
  <c r="W64" i="1"/>
  <c r="V64" i="1"/>
  <c r="Z87" i="1"/>
  <c r="X87" i="1"/>
  <c r="W87" i="1"/>
  <c r="V87" i="1"/>
  <c r="Z55" i="1"/>
  <c r="X55" i="1"/>
  <c r="W55" i="1"/>
  <c r="V55" i="1"/>
  <c r="Z63" i="1"/>
  <c r="X63" i="1"/>
  <c r="W63" i="1"/>
  <c r="V63" i="1"/>
  <c r="Z86" i="1"/>
  <c r="X86" i="1"/>
  <c r="W86" i="1"/>
  <c r="V86" i="1"/>
  <c r="Z41" i="1"/>
  <c r="X41" i="1"/>
  <c r="W41" i="1"/>
  <c r="V41" i="1"/>
  <c r="Z15" i="1"/>
  <c r="X15" i="1"/>
  <c r="W15" i="1"/>
  <c r="V15" i="1"/>
  <c r="Z85" i="1"/>
  <c r="X85" i="1"/>
  <c r="W85" i="1"/>
  <c r="V85" i="1"/>
  <c r="Z122" i="1"/>
  <c r="X122" i="1"/>
  <c r="W122" i="1"/>
  <c r="V122" i="1"/>
  <c r="Z20" i="1"/>
  <c r="X20" i="1"/>
  <c r="W20" i="1"/>
  <c r="V20" i="1"/>
  <c r="Z84" i="1"/>
  <c r="X84" i="1"/>
  <c r="W84" i="1"/>
  <c r="V84" i="1"/>
  <c r="Z83" i="1"/>
  <c r="X83" i="1"/>
  <c r="W83" i="1"/>
  <c r="V83" i="1"/>
  <c r="Z121" i="1"/>
  <c r="X121" i="1"/>
  <c r="W121" i="1"/>
  <c r="V121" i="1"/>
  <c r="Z82" i="1"/>
  <c r="X82" i="1"/>
  <c r="W82" i="1"/>
  <c r="V82" i="1"/>
  <c r="Z120" i="1"/>
  <c r="X120" i="1"/>
  <c r="W120" i="1"/>
  <c r="V120" i="1"/>
  <c r="Z62" i="1"/>
  <c r="X62" i="1"/>
  <c r="W62" i="1"/>
  <c r="V62" i="1"/>
  <c r="Z54" i="1"/>
  <c r="X54" i="1"/>
  <c r="W54" i="1"/>
  <c r="V54" i="1"/>
  <c r="Z81" i="1"/>
  <c r="X81" i="1"/>
  <c r="W81" i="1"/>
  <c r="V81" i="1"/>
  <c r="Z53" i="1"/>
  <c r="X53" i="1"/>
  <c r="W53" i="1"/>
  <c r="V53" i="1"/>
  <c r="Z25" i="1"/>
  <c r="X25" i="1"/>
  <c r="W25" i="1"/>
  <c r="V25" i="1"/>
  <c r="Z80" i="1"/>
  <c r="X80" i="1"/>
  <c r="W80" i="1"/>
  <c r="V80" i="1"/>
  <c r="Z4" i="1"/>
  <c r="X4" i="1"/>
  <c r="W4" i="1"/>
  <c r="V4" i="1"/>
  <c r="Z119" i="1"/>
  <c r="X119" i="1"/>
  <c r="W119" i="1"/>
  <c r="V119" i="1"/>
  <c r="Z61" i="1"/>
  <c r="X61" i="1"/>
  <c r="W61" i="1"/>
  <c r="V61" i="1"/>
  <c r="Z118" i="1"/>
  <c r="X118" i="1"/>
  <c r="W118" i="1"/>
  <c r="V118" i="1"/>
  <c r="Z35" i="1"/>
  <c r="X35" i="1"/>
  <c r="W35" i="1"/>
  <c r="V35" i="1"/>
  <c r="Z47" i="1"/>
  <c r="X47" i="1"/>
  <c r="W47" i="1"/>
  <c r="V47" i="1"/>
  <c r="Z52" i="1"/>
  <c r="X52" i="1"/>
  <c r="W52" i="1"/>
  <c r="V52" i="1"/>
  <c r="Z40" i="1"/>
  <c r="X40" i="1"/>
  <c r="W40" i="1"/>
  <c r="V40" i="1"/>
  <c r="Z45" i="1"/>
  <c r="X45" i="1"/>
  <c r="W45" i="1"/>
  <c r="V45" i="1"/>
  <c r="Z31" i="1"/>
  <c r="X31" i="1"/>
  <c r="W31" i="1"/>
  <c r="V31" i="1"/>
  <c r="Z50" i="1"/>
  <c r="X50" i="1"/>
  <c r="W50" i="1"/>
  <c r="V50" i="1"/>
  <c r="Z44" i="1"/>
  <c r="X44" i="1"/>
  <c r="W44" i="1"/>
  <c r="V44" i="1"/>
  <c r="Z9" i="1"/>
  <c r="X9" i="1"/>
  <c r="W9" i="1"/>
  <c r="V9" i="1"/>
  <c r="Z33" i="1"/>
  <c r="X33" i="1"/>
  <c r="W33" i="1"/>
  <c r="V33" i="1"/>
  <c r="Z28" i="1"/>
  <c r="X28" i="1"/>
  <c r="W28" i="1"/>
  <c r="V28" i="1"/>
  <c r="Z5" i="1"/>
  <c r="X5" i="1"/>
  <c r="W5" i="1"/>
  <c r="V5" i="1"/>
  <c r="Z79" i="1"/>
  <c r="X79" i="1"/>
  <c r="W79" i="1"/>
  <c r="V79" i="1"/>
  <c r="Z12" i="1"/>
  <c r="X12" i="1"/>
  <c r="W12" i="1"/>
  <c r="V12" i="1"/>
  <c r="Z3" i="1"/>
  <c r="X3" i="1"/>
  <c r="W3" i="1"/>
  <c r="V3" i="1"/>
  <c r="Z78" i="1"/>
  <c r="X78" i="1"/>
  <c r="W78" i="1"/>
  <c r="V78" i="1"/>
  <c r="Z77" i="1"/>
  <c r="X77" i="1"/>
  <c r="W77" i="1"/>
  <c r="V77" i="1"/>
  <c r="Z76" i="1"/>
  <c r="X76" i="1"/>
  <c r="W76" i="1"/>
  <c r="V76" i="1"/>
  <c r="Z117" i="1"/>
  <c r="X117" i="1"/>
  <c r="W117" i="1"/>
  <c r="V117" i="1"/>
  <c r="Z116" i="1"/>
  <c r="X116" i="1"/>
  <c r="W116" i="1"/>
  <c r="V116" i="1"/>
  <c r="Z75" i="1"/>
  <c r="X75" i="1"/>
  <c r="W75" i="1"/>
  <c r="V75" i="1"/>
  <c r="Z115" i="1"/>
  <c r="X115" i="1"/>
  <c r="W115" i="1"/>
  <c r="V115" i="1"/>
  <c r="Z114" i="1"/>
  <c r="X114" i="1"/>
  <c r="W114" i="1"/>
  <c r="V114" i="1"/>
  <c r="Z113" i="1"/>
  <c r="X113" i="1"/>
  <c r="W113" i="1"/>
  <c r="V113" i="1"/>
  <c r="Z17" i="1"/>
  <c r="X17" i="1"/>
  <c r="W17" i="1"/>
  <c r="V17" i="1"/>
  <c r="Z2" i="1"/>
  <c r="X2" i="1"/>
  <c r="W2" i="1"/>
  <c r="V2" i="1"/>
  <c r="Z74" i="1"/>
  <c r="X74" i="1"/>
  <c r="W74" i="1"/>
  <c r="V74" i="1"/>
  <c r="Z112" i="1"/>
  <c r="X112" i="1"/>
  <c r="W112" i="1"/>
  <c r="V112" i="1"/>
  <c r="Z111" i="1"/>
  <c r="X111" i="1"/>
  <c r="W111" i="1"/>
  <c r="V111" i="1"/>
  <c r="Z110" i="1"/>
  <c r="X110" i="1"/>
  <c r="W110" i="1"/>
  <c r="V110" i="1"/>
  <c r="Z109" i="1"/>
  <c r="X109" i="1"/>
  <c r="W109" i="1"/>
  <c r="V109" i="1"/>
  <c r="Z108" i="1"/>
  <c r="X108" i="1"/>
  <c r="W108" i="1"/>
  <c r="V108" i="1"/>
  <c r="Z107" i="1"/>
  <c r="X107" i="1"/>
  <c r="W107" i="1"/>
  <c r="V107" i="1"/>
  <c r="Z73" i="1"/>
  <c r="X73" i="1"/>
  <c r="W73" i="1"/>
  <c r="V73" i="1"/>
  <c r="Z19" i="1"/>
  <c r="X19" i="1"/>
  <c r="W19" i="1"/>
  <c r="V19" i="1"/>
  <c r="Z72" i="1"/>
  <c r="X72" i="1"/>
  <c r="W72" i="1"/>
  <c r="V72" i="1"/>
  <c r="Z106" i="1"/>
  <c r="X106" i="1"/>
  <c r="W106" i="1"/>
  <c r="V106" i="1"/>
  <c r="Z105" i="1"/>
  <c r="X105" i="1"/>
  <c r="W105" i="1"/>
  <c r="V105" i="1"/>
  <c r="Z104" i="1"/>
  <c r="X104" i="1"/>
  <c r="W104" i="1"/>
  <c r="V104" i="1"/>
  <c r="Z71" i="1"/>
  <c r="X71" i="1"/>
  <c r="W71" i="1"/>
  <c r="V71" i="1"/>
  <c r="Z70" i="1"/>
  <c r="X70" i="1"/>
  <c r="W70" i="1"/>
  <c r="V70" i="1"/>
  <c r="Z69" i="1"/>
  <c r="X69" i="1"/>
  <c r="W69" i="1"/>
  <c r="V69" i="1"/>
  <c r="Z103" i="1"/>
  <c r="X103" i="1"/>
  <c r="W103" i="1"/>
  <c r="V103" i="1"/>
  <c r="Z102" i="1"/>
  <c r="X102" i="1"/>
  <c r="W102" i="1"/>
  <c r="V102" i="1"/>
  <c r="Z101" i="1"/>
  <c r="X101" i="1"/>
  <c r="W101" i="1"/>
  <c r="V101" i="1"/>
  <c r="Z100" i="1"/>
  <c r="X100" i="1"/>
  <c r="W100" i="1"/>
  <c r="V100" i="1"/>
  <c r="Z23" i="1"/>
  <c r="X23" i="1"/>
  <c r="W23" i="1"/>
  <c r="V23" i="1"/>
  <c r="Z14" i="1"/>
  <c r="X14" i="1"/>
  <c r="W14" i="1"/>
  <c r="V14" i="1"/>
  <c r="Z60" i="1"/>
  <c r="X60" i="1"/>
  <c r="W60" i="1"/>
  <c r="V60" i="1"/>
  <c r="Z99" i="1"/>
  <c r="X99" i="1"/>
  <c r="W99" i="1"/>
  <c r="V99" i="1"/>
  <c r="Z68" i="1"/>
  <c r="X68" i="1"/>
  <c r="W68" i="1"/>
  <c r="V68" i="1"/>
  <c r="Z98" i="1"/>
  <c r="X98" i="1"/>
  <c r="W98" i="1"/>
  <c r="V98" i="1"/>
  <c r="Z97" i="1"/>
  <c r="X97" i="1"/>
  <c r="W97" i="1"/>
  <c r="V97" i="1"/>
  <c r="Z49" i="1"/>
  <c r="X49" i="1"/>
  <c r="W49" i="1"/>
  <c r="V49" i="1"/>
  <c r="Z42" i="1"/>
  <c r="X42" i="1"/>
  <c r="W42" i="1"/>
  <c r="V42" i="1"/>
  <c r="Z96" i="1"/>
  <c r="X96" i="1"/>
  <c r="W96" i="1"/>
  <c r="V96" i="1"/>
  <c r="Z59" i="1"/>
  <c r="X59" i="1"/>
  <c r="W59" i="1"/>
  <c r="V59" i="1"/>
  <c r="Z95" i="1"/>
  <c r="X95" i="1"/>
  <c r="W95" i="1"/>
  <c r="V95" i="1"/>
  <c r="Z94" i="1"/>
  <c r="X94" i="1"/>
  <c r="W94" i="1"/>
  <c r="V94" i="1"/>
  <c r="Z67" i="1"/>
  <c r="X67" i="1"/>
  <c r="W67" i="1"/>
  <c r="V67" i="1"/>
  <c r="Z93" i="1"/>
  <c r="X93" i="1"/>
  <c r="W93" i="1"/>
  <c r="V93" i="1"/>
  <c r="Z92" i="1"/>
  <c r="X92" i="1"/>
  <c r="W92" i="1"/>
  <c r="V92" i="1"/>
  <c r="Z8" i="1"/>
  <c r="X8" i="1"/>
  <c r="W8" i="1"/>
  <c r="V8" i="1"/>
  <c r="Z58" i="1"/>
  <c r="X58" i="1"/>
  <c r="W58" i="1"/>
  <c r="V58" i="1"/>
  <c r="Z16" i="1"/>
  <c r="X16" i="1"/>
  <c r="W16" i="1"/>
  <c r="V16" i="1"/>
  <c r="Z13" i="1"/>
  <c r="X13" i="1"/>
  <c r="W13" i="1"/>
  <c r="V13" i="1"/>
  <c r="Z91" i="1"/>
  <c r="X91" i="1"/>
  <c r="W91" i="1"/>
  <c r="V91" i="1"/>
  <c r="Z7" i="1"/>
  <c r="X7" i="1"/>
  <c r="W7" i="1"/>
  <c r="V7" i="1"/>
  <c r="Z29" i="1"/>
  <c r="X29" i="1"/>
  <c r="W29" i="1"/>
  <c r="V29" i="1"/>
  <c r="Z30" i="1"/>
  <c r="X30" i="1"/>
  <c r="W30" i="1"/>
  <c r="V30" i="1"/>
</calcChain>
</file>

<file path=xl/sharedStrings.xml><?xml version="1.0" encoding="utf-8"?>
<sst xmlns="http://schemas.openxmlformats.org/spreadsheetml/2006/main" count="4314" uniqueCount="570">
  <si>
    <t>TOTAL VL</t>
  </si>
  <si>
    <t>Stone No</t>
  </si>
  <si>
    <t>Image link</t>
  </si>
  <si>
    <t>Video Link</t>
  </si>
  <si>
    <t>Video</t>
  </si>
  <si>
    <t>Lab</t>
  </si>
  <si>
    <t>Report No</t>
  </si>
  <si>
    <t>Shape</t>
  </si>
  <si>
    <t>Carats</t>
  </si>
  <si>
    <t>Color</t>
  </si>
  <si>
    <t>Clarity</t>
  </si>
  <si>
    <t>Rap</t>
  </si>
  <si>
    <t>value</t>
  </si>
  <si>
    <t>Disc %</t>
  </si>
  <si>
    <t>Price/Ct</t>
  </si>
  <si>
    <t>Amount</t>
  </si>
  <si>
    <t>Cut</t>
  </si>
  <si>
    <t>Polish</t>
  </si>
  <si>
    <t>Sym</t>
  </si>
  <si>
    <t>Flour</t>
  </si>
  <si>
    <t>Measurement</t>
  </si>
  <si>
    <t>Table %</t>
  </si>
  <si>
    <t>Depth %</t>
  </si>
  <si>
    <t>CULET</t>
  </si>
  <si>
    <t>Crown Angle</t>
  </si>
  <si>
    <t>Crown Height</t>
  </si>
  <si>
    <t>Pav Angle</t>
  </si>
  <si>
    <t>Pav Height</t>
  </si>
  <si>
    <t>Key To Symbols</t>
  </si>
  <si>
    <t>lower Half</t>
  </si>
  <si>
    <t>Girdle Thickness</t>
  </si>
  <si>
    <t>Girdle Size</t>
  </si>
  <si>
    <t>Ratio</t>
  </si>
  <si>
    <t>Natts</t>
  </si>
  <si>
    <t>HNA</t>
  </si>
  <si>
    <t>Comment</t>
  </si>
  <si>
    <t>Shade</t>
  </si>
  <si>
    <t>Kapan Origin</t>
  </si>
  <si>
    <t>BGM Comment</t>
  </si>
  <si>
    <t>Location</t>
  </si>
  <si>
    <t>MarketSheetDate</t>
  </si>
  <si>
    <t>G26-13148</t>
  </si>
  <si>
    <t>GIA</t>
  </si>
  <si>
    <t>RBC</t>
  </si>
  <si>
    <t>J</t>
  </si>
  <si>
    <t>FL</t>
  </si>
  <si>
    <t>EX</t>
  </si>
  <si>
    <t>MED</t>
  </si>
  <si>
    <t>13.84 - 13.93 * 8.55</t>
  </si>
  <si>
    <t>NON</t>
  </si>
  <si>
    <t/>
  </si>
  <si>
    <t>MED to STK</t>
  </si>
  <si>
    <t>BC0 - BT0</t>
  </si>
  <si>
    <t>80</t>
  </si>
  <si>
    <t>NO</t>
  </si>
  <si>
    <t>CANADA</t>
  </si>
  <si>
    <t>No BROWN NO MILKY</t>
  </si>
  <si>
    <t>India</t>
  </si>
  <si>
    <t>25/02/2026</t>
  </si>
  <si>
    <t>DP-1</t>
  </si>
  <si>
    <t>SI2</t>
  </si>
  <si>
    <t>13.79 - 13.87 * 8.46</t>
  </si>
  <si>
    <t>Crystal, Feather</t>
  </si>
  <si>
    <t>BC1 - BT2</t>
  </si>
  <si>
    <t>Pinpoints are not shown.</t>
  </si>
  <si>
    <t>United States</t>
  </si>
  <si>
    <t>13/02/2025</t>
  </si>
  <si>
    <t>G26-16170</t>
  </si>
  <si>
    <t>EM</t>
  </si>
  <si>
    <t>I</t>
  </si>
  <si>
    <t>IF</t>
  </si>
  <si>
    <t>15.28 * 10.27 * 6.60</t>
  </si>
  <si>
    <t>STK to THK</t>
  </si>
  <si>
    <t>Minor details of polish are not shown.</t>
  </si>
  <si>
    <t>15/04/2026</t>
  </si>
  <si>
    <t>DQ-2</t>
  </si>
  <si>
    <t>IGI</t>
  </si>
  <si>
    <t>K</t>
  </si>
  <si>
    <t>VS2</t>
  </si>
  <si>
    <t>13.48 - 13.57 * 8.63</t>
  </si>
  <si>
    <t>Pointed</t>
  </si>
  <si>
    <t>STK to STK</t>
  </si>
  <si>
    <t>N/A</t>
  </si>
  <si>
    <t>SOUTH AFRICA</t>
  </si>
  <si>
    <t>11/07/2025</t>
  </si>
  <si>
    <t>G26-12732</t>
  </si>
  <si>
    <t>CCRMB</t>
  </si>
  <si>
    <t>STG</t>
  </si>
  <si>
    <t>14.04 * 9.86 * 6.81</t>
  </si>
  <si>
    <t>18/02/2026</t>
  </si>
  <si>
    <t>TB-7</t>
  </si>
  <si>
    <t>D</t>
  </si>
  <si>
    <t>12.77 - 12.85 * 7.87</t>
  </si>
  <si>
    <t>BOTSWANA</t>
  </si>
  <si>
    <t>15/09/2023</t>
  </si>
  <si>
    <t>DO-1</t>
  </si>
  <si>
    <t>E</t>
  </si>
  <si>
    <t>12.24 - 12.32 * 7.65</t>
  </si>
  <si>
    <t>Crystal, Feather, Needle</t>
  </si>
  <si>
    <t>BC0 - BT1</t>
  </si>
  <si>
    <t>TANZANIA</t>
  </si>
  <si>
    <t>G26-12949</t>
  </si>
  <si>
    <t>CMB</t>
  </si>
  <si>
    <t>Fancy Intense Yellow</t>
  </si>
  <si>
    <t>VS1</t>
  </si>
  <si>
    <t>10.33 * 10.31 * 7.09</t>
  </si>
  <si>
    <t>Crystal, Needle, Pinpoint</t>
  </si>
  <si>
    <t>THK to VTK</t>
  </si>
  <si>
    <t>BC1 - BT1</t>
  </si>
  <si>
    <t>Additional pinpoints are not shown. A cloud is not shown.</t>
  </si>
  <si>
    <t>ANGOLA</t>
  </si>
  <si>
    <t>21/02/2026</t>
  </si>
  <si>
    <t>UK-4</t>
  </si>
  <si>
    <t>OB</t>
  </si>
  <si>
    <t>15.32 * 10.79 * 6.73</t>
  </si>
  <si>
    <t>Clouds are not shown. Pinpoints are not shown.</t>
  </si>
  <si>
    <t>20/11/2023</t>
  </si>
  <si>
    <t>G25-5393</t>
  </si>
  <si>
    <t>HB</t>
  </si>
  <si>
    <t>H</t>
  </si>
  <si>
    <t>VG</t>
  </si>
  <si>
    <t>12.57 * 10.68 * 7.49</t>
  </si>
  <si>
    <t>LIGHT BROWN NO MILKY</t>
  </si>
  <si>
    <t>28/11/2025</t>
  </si>
  <si>
    <t>G26-12451</t>
  </si>
  <si>
    <t>VVS2</t>
  </si>
  <si>
    <t>11.01 - 11.07 * 6.88</t>
  </si>
  <si>
    <t>Needle, Pinpoint</t>
  </si>
  <si>
    <t>50</t>
  </si>
  <si>
    <t>Additional pinpoints are not shown.</t>
  </si>
  <si>
    <t>Hong Kong</t>
  </si>
  <si>
    <t>12/02/2026</t>
  </si>
  <si>
    <t>SQ-3</t>
  </si>
  <si>
    <t>SI1</t>
  </si>
  <si>
    <t>FNT</t>
  </si>
  <si>
    <t>10.96 - 11.02 * 6.90</t>
  </si>
  <si>
    <t>Crystal, Pinpoint</t>
  </si>
  <si>
    <t>BC0 - BT2</t>
  </si>
  <si>
    <t>Additional pinpoints are not shown. Internal graining is not shown.</t>
  </si>
  <si>
    <t>19/06/2023</t>
  </si>
  <si>
    <t>G26-11044</t>
  </si>
  <si>
    <t>11.00 - 11.06 * 6.84</t>
  </si>
  <si>
    <t>MED to MED</t>
  </si>
  <si>
    <t>MIX</t>
  </si>
  <si>
    <t>24/01/2026</t>
  </si>
  <si>
    <t>G26-13761</t>
  </si>
  <si>
    <t>PB</t>
  </si>
  <si>
    <t>VVS1</t>
  </si>
  <si>
    <t>15.20 * 9.49 * 5.97</t>
  </si>
  <si>
    <t>Cloud, Pinpoint</t>
  </si>
  <si>
    <t>12/03/2026</t>
  </si>
  <si>
    <t>AB-1</t>
  </si>
  <si>
    <t>SLT</t>
  </si>
  <si>
    <t>10.91 - 10.96 * 6.83</t>
  </si>
  <si>
    <t>BC3 - BT2</t>
  </si>
  <si>
    <t>IDEAL CUT ROUND BRILLIANT</t>
  </si>
  <si>
    <t>26/09/2024</t>
  </si>
  <si>
    <t>G26-12729</t>
  </si>
  <si>
    <t>10.85 - 10.93 * 6.84</t>
  </si>
  <si>
    <t>G26-13062</t>
  </si>
  <si>
    <t>M</t>
  </si>
  <si>
    <t>14.07 * 9.39 * 5.86</t>
  </si>
  <si>
    <t>G26-12834</t>
  </si>
  <si>
    <t>HRD</t>
  </si>
  <si>
    <t>10.84 - 10.90 * 6.82</t>
  </si>
  <si>
    <t>pointed</t>
  </si>
  <si>
    <t>United Arab Emirates</t>
  </si>
  <si>
    <t>20/02/2026</t>
  </si>
  <si>
    <t>UK-3</t>
  </si>
  <si>
    <t>14.51 * 9.49 * 6.06</t>
  </si>
  <si>
    <t>Crystal, Needle</t>
  </si>
  <si>
    <t>Clouds, pinpoints and internal graining are not shown.</t>
  </si>
  <si>
    <t>HR-2</t>
  </si>
  <si>
    <t>13.92 * 9.24 * 5.85</t>
  </si>
  <si>
    <t>13/08/2025</t>
  </si>
  <si>
    <t>XU-13</t>
  </si>
  <si>
    <t>12.08 * 11.00 * 6.64</t>
  </si>
  <si>
    <t>MED to THK</t>
  </si>
  <si>
    <t>LESOTHO</t>
  </si>
  <si>
    <t>16/10/2024</t>
  </si>
  <si>
    <t>G26-12731</t>
  </si>
  <si>
    <t>10.98 - 11.03 * 6.73</t>
  </si>
  <si>
    <t>Feather, Cloud, Pinpoint, Indented Natural, Natural</t>
  </si>
  <si>
    <t>EI-6</t>
  </si>
  <si>
    <t>VSTG</t>
  </si>
  <si>
    <t>13.58 * 8.62 * 5.40</t>
  </si>
  <si>
    <t>Pinpoint, Needle, Feather</t>
  </si>
  <si>
    <t>Surface graining is not shown.</t>
  </si>
  <si>
    <t>26/03/2025</t>
  </si>
  <si>
    <t>G26-13162</t>
  </si>
  <si>
    <t>11.23 * 7.49 * 4.94</t>
  </si>
  <si>
    <t>Clouds, pinpoints and surface graining are not shown.</t>
  </si>
  <si>
    <t>G26-15471</t>
  </si>
  <si>
    <t>MB</t>
  </si>
  <si>
    <t>F</t>
  </si>
  <si>
    <t>17.87 * 7.86 * 4.53</t>
  </si>
  <si>
    <t>Crystal, Needle, Feather</t>
  </si>
  <si>
    <t>BC1 - BT0</t>
  </si>
  <si>
    <t>06/04/2026</t>
  </si>
  <si>
    <t>G25-5552</t>
  </si>
  <si>
    <t>13.07 * 8.64 * 5.45</t>
  </si>
  <si>
    <t>Crystal, Feather, Cloud, Needle, Knot</t>
  </si>
  <si>
    <t>STK to VTK</t>
  </si>
  <si>
    <t>Additional clouds are not shown. Pinpoints are not shown.</t>
  </si>
  <si>
    <t>G26-13053</t>
  </si>
  <si>
    <t>L</t>
  </si>
  <si>
    <t>10.10 - 10.19 * 6.22</t>
  </si>
  <si>
    <t>G26-15336</t>
  </si>
  <si>
    <t>9.82 - 9.88 * 6.05</t>
  </si>
  <si>
    <t>04/04/2026</t>
  </si>
  <si>
    <t>G26-15472</t>
  </si>
  <si>
    <t>9.70 - 9.76 * 5.92</t>
  </si>
  <si>
    <t>07/04/2026</t>
  </si>
  <si>
    <t>G25-9022</t>
  </si>
  <si>
    <t>MTRIB</t>
  </si>
  <si>
    <t>10.50 * 9.43 * 5.26</t>
  </si>
  <si>
    <t>Twinning Wisp, Feather, Crystal, Needle</t>
  </si>
  <si>
    <t>Additional twinning wisps, clouds, pinpoints and surface graining are not shown.</t>
  </si>
  <si>
    <t>01/01/2026</t>
  </si>
  <si>
    <t>G26-12364</t>
  </si>
  <si>
    <t>12.51 * 7.77 * 4.90</t>
  </si>
  <si>
    <t>G26-12950</t>
  </si>
  <si>
    <t>Fancy Deep Yellow</t>
  </si>
  <si>
    <t>8.30 * 7.73 * 4.97</t>
  </si>
  <si>
    <t>VTK to ETK</t>
  </si>
  <si>
    <t>Clouds are not shown.</t>
  </si>
  <si>
    <t>IR25-5</t>
  </si>
  <si>
    <t>12.46 * 7.84 * 4.86</t>
  </si>
  <si>
    <t>Additional pinpoints are not shown. Surface graining is not shown.</t>
  </si>
  <si>
    <t>08/10/2025</t>
  </si>
  <si>
    <t>EJ-6</t>
  </si>
  <si>
    <t>9.97 * 6.65 * 4.52</t>
  </si>
  <si>
    <t>linear</t>
  </si>
  <si>
    <t>08/04/2025</t>
  </si>
  <si>
    <t>G25-9196</t>
  </si>
  <si>
    <t>9.95 * 8.56 * 5.88</t>
  </si>
  <si>
    <t>Pinpoint, Needle</t>
  </si>
  <si>
    <t>Additional pinpoints are not shown. Clouds are not shown.</t>
  </si>
  <si>
    <t>02/01/2026</t>
  </si>
  <si>
    <t>G25-9197</t>
  </si>
  <si>
    <t>10.18 * 8.78 * 5.72</t>
  </si>
  <si>
    <t>Crystal, Feather, Needle, Pinpoint, Knot</t>
  </si>
  <si>
    <t>G25-7388</t>
  </si>
  <si>
    <t>11.39 * 8.14 * 5.11</t>
  </si>
  <si>
    <t>Crystal, Feather, Pinpoint</t>
  </si>
  <si>
    <t>13/12/2025</t>
  </si>
  <si>
    <t>G26-14371</t>
  </si>
  <si>
    <t>10.95 * 7.30 * 4.73</t>
  </si>
  <si>
    <t>Crystal,Feather,Needle</t>
  </si>
  <si>
    <t>18/03/2026</t>
  </si>
  <si>
    <t>G26-13111</t>
  </si>
  <si>
    <t>10.49 * 9.11 * 3.70</t>
  </si>
  <si>
    <t>Twinning Wisp, Indented Natural</t>
  </si>
  <si>
    <t>ETK to ETK</t>
  </si>
  <si>
    <t>Additional twinning wisps, pinpoints and surface graining are not shown.</t>
  </si>
  <si>
    <t>G26-12058</t>
  </si>
  <si>
    <t>11.58 * 7.30 * 4.62</t>
  </si>
  <si>
    <t>Twinning Wisp, Crystal, Feather, Needle</t>
  </si>
  <si>
    <t>Additional twinning wisps, internal graining, pinpoints and surface graining are not shown.</t>
  </si>
  <si>
    <t>07/02/2026</t>
  </si>
  <si>
    <t>YG-69</t>
  </si>
  <si>
    <t>I1</t>
  </si>
  <si>
    <t>8.42 - 8.47 * 5.31</t>
  </si>
  <si>
    <t>No BROWN HEAVY MILKY</t>
  </si>
  <si>
    <t>29/05/2024</t>
  </si>
  <si>
    <t>G26-16391</t>
  </si>
  <si>
    <t>790689781</t>
  </si>
  <si>
    <t>10.21 * 7.29 * 4.75</t>
  </si>
  <si>
    <t>18/04/2026</t>
  </si>
  <si>
    <t>G25-9134</t>
  </si>
  <si>
    <t>11.00 * 9.19 * 3.31</t>
  </si>
  <si>
    <t>Twinning Wisp</t>
  </si>
  <si>
    <t>G26-13110</t>
  </si>
  <si>
    <t>9.29 * 8.04 * 3.92</t>
  </si>
  <si>
    <t>Twinning Wisp, Feather</t>
  </si>
  <si>
    <t>G25-7935</t>
  </si>
  <si>
    <t>10.57 * 7.04 * 4.43</t>
  </si>
  <si>
    <t>Crystal</t>
  </si>
  <si>
    <t>20/12/2025</t>
  </si>
  <si>
    <t>G26-15470</t>
  </si>
  <si>
    <t>S.PS</t>
  </si>
  <si>
    <t>10.53 * 7.24 * 3.83</t>
  </si>
  <si>
    <t>G26-15129</t>
  </si>
  <si>
    <t>NC</t>
  </si>
  <si>
    <t>I3</t>
  </si>
  <si>
    <t>7.78 - 7.90 * 5.24</t>
  </si>
  <si>
    <t>10/04/2026</t>
  </si>
  <si>
    <t>G26-12311</t>
  </si>
  <si>
    <t>G</t>
  </si>
  <si>
    <t>8.10 - 8.15 * 5.09</t>
  </si>
  <si>
    <t>Pinpoint, Cloud</t>
  </si>
  <si>
    <t>10/02/2026</t>
  </si>
  <si>
    <t>G26-13624</t>
  </si>
  <si>
    <t>9.61 * 8.29 * 3.68</t>
  </si>
  <si>
    <t>Additional twinning wisps are not shown. Surface graining is not shown.</t>
  </si>
  <si>
    <t>10/03/2026</t>
  </si>
  <si>
    <t>G26-11010</t>
  </si>
  <si>
    <t>10.99 * 6.84 * 4.30</t>
  </si>
  <si>
    <t>Pinpoint</t>
  </si>
  <si>
    <t>G26-15154</t>
  </si>
  <si>
    <t>9.87 * 6.88 * 3.85</t>
  </si>
  <si>
    <t>Crystal, Twinning Wisp</t>
  </si>
  <si>
    <t>03/04/2026</t>
  </si>
  <si>
    <t>G26-12457</t>
  </si>
  <si>
    <t>KITE</t>
  </si>
  <si>
    <t>10.61 * 6.72 * 3.65</t>
  </si>
  <si>
    <t>Twinning Wisp, Feather, Crystal</t>
  </si>
  <si>
    <t>GR-35</t>
  </si>
  <si>
    <t>SQEM</t>
  </si>
  <si>
    <t>7.00 * 6.95 * 4.59</t>
  </si>
  <si>
    <t>Crystal, Natural</t>
  </si>
  <si>
    <t>THK to THK</t>
  </si>
  <si>
    <t>12/06/2025</t>
  </si>
  <si>
    <t>G26-14363</t>
  </si>
  <si>
    <t>VSL</t>
  </si>
  <si>
    <t>11.06 * 6.99 * 4.35</t>
  </si>
  <si>
    <t>19/03/2026</t>
  </si>
  <si>
    <t>G26-13179</t>
  </si>
  <si>
    <t>8.74 * 7.54 * 5.04</t>
  </si>
  <si>
    <t>Twinning Wisp, Crystal, Cloud, Feather, Needle, Indented Natural</t>
  </si>
  <si>
    <t>Additional twinning wisps, additional clouds, pinpoints and surface graining are not shown.</t>
  </si>
  <si>
    <t>G26-10182</t>
  </si>
  <si>
    <t>8.83 * 7.50 * 5.20</t>
  </si>
  <si>
    <t>13/01/2026</t>
  </si>
  <si>
    <t>G26-10181</t>
  </si>
  <si>
    <t>7.81 - 7.91 * 5.07</t>
  </si>
  <si>
    <t>G26-13049</t>
  </si>
  <si>
    <t>8.03 - 8.08 * 5.03</t>
  </si>
  <si>
    <t>THN to MED</t>
  </si>
  <si>
    <t>OQ-40</t>
  </si>
  <si>
    <t>I2</t>
  </si>
  <si>
    <t>8.03 - 8.07 * 5.06</t>
  </si>
  <si>
    <t>Twinning Wisp, Feather, Crystal, Needle, Indented Natural, Natural</t>
  </si>
  <si>
    <t>THN to STK</t>
  </si>
  <si>
    <t>BC3 - BT3</t>
  </si>
  <si>
    <t>21/11/2022</t>
  </si>
  <si>
    <t>S26-6770</t>
  </si>
  <si>
    <t>8.27 * 6.01 * 4.11</t>
  </si>
  <si>
    <t>Cloud, Crystal, Feather, Needle</t>
  </si>
  <si>
    <t>NO BROWN NO MILKY</t>
  </si>
  <si>
    <t>24/03/2026</t>
  </si>
  <si>
    <t>G26-10980</t>
  </si>
  <si>
    <t>7.04 * 6.97 * 4.60</t>
  </si>
  <si>
    <t>G26-10724</t>
  </si>
  <si>
    <t>11.10 * 7.05 * 4.34</t>
  </si>
  <si>
    <t>Knot,Feather,Crystal,Cloud,Indented Natural,Needle</t>
  </si>
  <si>
    <t>MED to VTK</t>
  </si>
  <si>
    <t>20/01/2026</t>
  </si>
  <si>
    <t>G26-12940</t>
  </si>
  <si>
    <t>11.34 * 6.97 * 4.30</t>
  </si>
  <si>
    <t>G26-10401</t>
  </si>
  <si>
    <t>8.60 * 7.19 * 5.37</t>
  </si>
  <si>
    <t>Crystal, Feather, Knot, Needle</t>
  </si>
  <si>
    <t>17/01/2026</t>
  </si>
  <si>
    <t>S26-6435</t>
  </si>
  <si>
    <t>8.40 * 7.87 * 5.02</t>
  </si>
  <si>
    <t>Twinning Wisp, Feather, Crystal, Indented Natural</t>
  </si>
  <si>
    <t>THN to VTK</t>
  </si>
  <si>
    <t>G26-15243</t>
  </si>
  <si>
    <t>7.78 - 7.90 * 5.05</t>
  </si>
  <si>
    <t>Twinning Wisp, Feather, Cloud, Crystal, Indented Natural, Natural</t>
  </si>
  <si>
    <t>S26-6590</t>
  </si>
  <si>
    <t>FR</t>
  </si>
  <si>
    <t>7.70 - 7.76 * 5.08</t>
  </si>
  <si>
    <t>VTK to VTK</t>
  </si>
  <si>
    <t>14/03/2026</t>
  </si>
  <si>
    <t>S26-6088</t>
  </si>
  <si>
    <t>8.00 - 8.06 * 5.05</t>
  </si>
  <si>
    <t>Twinning Wisp, Cloud, Feather, Crystal, Indented Natural, Natural</t>
  </si>
  <si>
    <t>S26-6347</t>
  </si>
  <si>
    <t>8.00 - 8.04 * 5.06</t>
  </si>
  <si>
    <t>Twinning Wisp, Cavity, Crystal, Feather, Indented Natural</t>
  </si>
  <si>
    <t>03/03/2026</t>
  </si>
  <si>
    <t>BBP-83</t>
  </si>
  <si>
    <t>GD</t>
  </si>
  <si>
    <t>7.65 - 7.72 * 5.09</t>
  </si>
  <si>
    <t>BC2 - BT2</t>
  </si>
  <si>
    <t>25/07/2025</t>
  </si>
  <si>
    <t>GR-124</t>
  </si>
  <si>
    <t>7.64 - 7.74 * 5.11</t>
  </si>
  <si>
    <t>Cloud, Crystal, Feather, Needle, Indented Natural, Natural</t>
  </si>
  <si>
    <t>DZ-11</t>
  </si>
  <si>
    <t>7.72 - 7.91 * 5.08</t>
  </si>
  <si>
    <t>21/03/2025</t>
  </si>
  <si>
    <t>G26-11019</t>
  </si>
  <si>
    <t>7.83 - 7.89 * 5.06</t>
  </si>
  <si>
    <t>Cloud, Feather, Crystal, Cavity, Needle, Indented Natural</t>
  </si>
  <si>
    <t>Additional clouds, pinpoints and surface graining are not shown.</t>
  </si>
  <si>
    <t>G26-11018</t>
  </si>
  <si>
    <t>7.64 - 7.72 * 5.14</t>
  </si>
  <si>
    <t>Crystal, Cloud, Feather, Needle, Indented Natural, Natural</t>
  </si>
  <si>
    <t>GR-143</t>
  </si>
  <si>
    <t>7.85 - 7.90 * 5.06</t>
  </si>
  <si>
    <t>Crystal, Cloud, Feather, Needle, Natural</t>
  </si>
  <si>
    <t>Internal graining, additional clouds and pinpoints are not shown.</t>
  </si>
  <si>
    <t>G26-11021</t>
  </si>
  <si>
    <t>7.77 - 7.88 * 5.04</t>
  </si>
  <si>
    <t>Crystal, Pinpoint, Indented Natural</t>
  </si>
  <si>
    <t>AZP-32</t>
  </si>
  <si>
    <t>7.82 - 7.92 * 5.00</t>
  </si>
  <si>
    <t>Crystal, Needle, Indented Natural, Natural</t>
  </si>
  <si>
    <t>17/01/2025</t>
  </si>
  <si>
    <t>G26-15330</t>
  </si>
  <si>
    <t>7.66 - 7.75 * 5.07</t>
  </si>
  <si>
    <t>G25-7939</t>
  </si>
  <si>
    <t>8.78 * 6.06 * 3.99</t>
  </si>
  <si>
    <t>Crystal, Cloud, Feather, Needle</t>
  </si>
  <si>
    <t>G25-6760</t>
  </si>
  <si>
    <t>SMB</t>
  </si>
  <si>
    <t>7.07 * 6.94 * 5.03</t>
  </si>
  <si>
    <t>10/12/2025</t>
  </si>
  <si>
    <t>G25-8265</t>
  </si>
  <si>
    <t>7.03 * 6.97 * 4.59</t>
  </si>
  <si>
    <t>Feather, Crystal, Cloud, Needle</t>
  </si>
  <si>
    <t>LMT</t>
  </si>
  <si>
    <t>G25-6764</t>
  </si>
  <si>
    <t>6.87 * 6.64 * 4.56</t>
  </si>
  <si>
    <t>BBP-63</t>
  </si>
  <si>
    <t>6.81 * 6.75 * 4.50</t>
  </si>
  <si>
    <t>23/08/2025</t>
  </si>
  <si>
    <t>G26-11826</t>
  </si>
  <si>
    <t>10.89 * 6.75 * 4.36</t>
  </si>
  <si>
    <t>CRYSTAL,FEATHER,NEEDLE</t>
  </si>
  <si>
    <t>05/02/2026</t>
  </si>
  <si>
    <t>G26-13061</t>
  </si>
  <si>
    <t>11.19 * 7.06 * 4.31</t>
  </si>
  <si>
    <t>MMT</t>
  </si>
  <si>
    <t>G26-12863</t>
  </si>
  <si>
    <t>10.79 * 6.96 * 4.43</t>
  </si>
  <si>
    <t>Twinning Wisp, Crystal, Feather, Cavity, Indented Natural, Natural</t>
  </si>
  <si>
    <t>G26-11003</t>
  </si>
  <si>
    <t>12.51 * 6.56 * 4.15</t>
  </si>
  <si>
    <t>26/01/2026</t>
  </si>
  <si>
    <t>S26-6257</t>
  </si>
  <si>
    <t>10.39 * 6.69 * 4.31</t>
  </si>
  <si>
    <t>27/02/2026</t>
  </si>
  <si>
    <t>ZH-6188</t>
  </si>
  <si>
    <t>8.84 * 6.32 * 4.36</t>
  </si>
  <si>
    <t>26/06/2025</t>
  </si>
  <si>
    <t>S26-5906</t>
  </si>
  <si>
    <t>7.93 - 8.01 * 5.06</t>
  </si>
  <si>
    <t>G26-11045</t>
  </si>
  <si>
    <t>7.87 - 7.93 * 5.01</t>
  </si>
  <si>
    <t>G26-15783</t>
  </si>
  <si>
    <t>7.74 - 7.86 * 5.05</t>
  </si>
  <si>
    <t>Cloud, Feather, Indented Natural, Pinpoint</t>
  </si>
  <si>
    <t>THN to THK</t>
  </si>
  <si>
    <t>S26-5665</t>
  </si>
  <si>
    <t>8.01 - 8.03 * 5.02</t>
  </si>
  <si>
    <t>Feather, Twinning Wisp, Crystal, Indented Natural, Needle</t>
  </si>
  <si>
    <t>Clouds, additional twinning wisps and surface graining are not shown.</t>
  </si>
  <si>
    <t>11/02/2026</t>
  </si>
  <si>
    <t>S26-5645</t>
  </si>
  <si>
    <t>7.67 - 7.77 * 4.99</t>
  </si>
  <si>
    <t>None</t>
  </si>
  <si>
    <t>RU-145</t>
  </si>
  <si>
    <t>7.63 - 7.72 * 5.04</t>
  </si>
  <si>
    <t>BC2 - BT3</t>
  </si>
  <si>
    <t>31/08/2023</t>
  </si>
  <si>
    <t>G26-11385</t>
  </si>
  <si>
    <t>7.93 - 8.05 * 5.01</t>
  </si>
  <si>
    <t>Crystal, Feather, Needle, Cloud, Indented Natural, Natural</t>
  </si>
  <si>
    <t>31/01/2026</t>
  </si>
  <si>
    <t>G26-11007</t>
  </si>
  <si>
    <t>7.98 - 8.04 * 5.06</t>
  </si>
  <si>
    <t>Twinning Wisp, Crystal, Feather, Knot, Indented Natural, Natural</t>
  </si>
  <si>
    <t>S26-6703</t>
  </si>
  <si>
    <t>7.68 - 7.74 * 5.08</t>
  </si>
  <si>
    <t>S26-5325</t>
  </si>
  <si>
    <t>7.96 - 8.02 * 5.03</t>
  </si>
  <si>
    <t>Cloud, Crystal, Feather, Needle, Natural</t>
  </si>
  <si>
    <t>G25-7064</t>
  </si>
  <si>
    <t>7.81 - 7.90 * 5.05</t>
  </si>
  <si>
    <t>Crystal, Cloud, Feather, Indented Natural, Needle, Natural</t>
  </si>
  <si>
    <t>11/12/2025</t>
  </si>
  <si>
    <t>S26-5575</t>
  </si>
  <si>
    <t>7.61 - 7.71 * 5.07</t>
  </si>
  <si>
    <t>Indented Natural, Cloud, Feather, Needle, Natural</t>
  </si>
  <si>
    <t>Additional clouds, a manufacturing remnant and pinpoints are not shown.</t>
  </si>
  <si>
    <t>S26-6314</t>
  </si>
  <si>
    <t>7.81 - 7.88 * 5.07</t>
  </si>
  <si>
    <t>Cloud, Crystal, Feather, Indented Natural, Needle, Natural</t>
  </si>
  <si>
    <t>S26-6621</t>
  </si>
  <si>
    <t>7.66 - 7.74 * 5.04</t>
  </si>
  <si>
    <t>16/03/2026</t>
  </si>
  <si>
    <t>S26-5259</t>
  </si>
  <si>
    <t>7.73 - 7.79 * 5.03</t>
  </si>
  <si>
    <t>Crystal, Cloud, Feather, Indented Natural, Cavity, Needle, Natural</t>
  </si>
  <si>
    <t>30/01/2026</t>
  </si>
  <si>
    <t>S26-6624</t>
  </si>
  <si>
    <t>7.64 - 7.72 * 5.04</t>
  </si>
  <si>
    <t>17/03/2026</t>
  </si>
  <si>
    <t>S26-7195</t>
  </si>
  <si>
    <t>7.76 - 7.86 * 5.08</t>
  </si>
  <si>
    <t>Cloud, Pinpoint, Natural</t>
  </si>
  <si>
    <t>Additional clouds are not shown. Additional pinpoints are not shown.</t>
  </si>
  <si>
    <t>G26-13043</t>
  </si>
  <si>
    <t>7.98 - 8.02 * 5.06</t>
  </si>
  <si>
    <t>G26-11619</t>
  </si>
  <si>
    <t>7.74 - 7.85 * 5.06</t>
  </si>
  <si>
    <t>Crystal, Cloud, Indented Natural, Needle, Natural</t>
  </si>
  <si>
    <t>Additional clouds, pinpoints and internal graining are not shown.</t>
  </si>
  <si>
    <t>03/02/2026</t>
  </si>
  <si>
    <t>S26-5381</t>
  </si>
  <si>
    <t>7.98 - 8.03 * 5.03</t>
  </si>
  <si>
    <t>Crystal, Feather, Cloud, Indented Natural, Needle, Natural</t>
  </si>
  <si>
    <t>BR-28</t>
  </si>
  <si>
    <t>7.70 - 7.89 * 5.08</t>
  </si>
  <si>
    <t>23/10/2024</t>
  </si>
  <si>
    <t>G26-13254</t>
  </si>
  <si>
    <t>7.74 - 7.87 * 4.99</t>
  </si>
  <si>
    <t>G25-6664</t>
  </si>
  <si>
    <t>7.54 - 7.72 * 5.15</t>
  </si>
  <si>
    <t>Cloud, Indented Natural, Crystal, Needle, Natural</t>
  </si>
  <si>
    <t>09/12/2025</t>
  </si>
  <si>
    <t>S26-6524</t>
  </si>
  <si>
    <t>7.58 - 7.73 * 5.09</t>
  </si>
  <si>
    <t>Feather, Indented Natural, Natural</t>
  </si>
  <si>
    <t>A manufacturing remnant is not shown.</t>
  </si>
  <si>
    <t>S26-7039</t>
  </si>
  <si>
    <t>7.70 - 7.76 * 5.06</t>
  </si>
  <si>
    <t>Cloud, Crystal, Feather, Knot, Indented Natural, Needle, Natural</t>
  </si>
  <si>
    <t>01/04/2026</t>
  </si>
  <si>
    <t>G26-13823</t>
  </si>
  <si>
    <t>7.84 - 7.95 * 5.06</t>
  </si>
  <si>
    <t>S26-6623</t>
  </si>
  <si>
    <t>7.78 - 7.89 * 5.07</t>
  </si>
  <si>
    <t>G25-7718</t>
  </si>
  <si>
    <t>8.75 * 5.96 * 3.98</t>
  </si>
  <si>
    <t>Needle, Pinpoint, Feather</t>
  </si>
  <si>
    <t>19/12/2025</t>
  </si>
  <si>
    <t>S25-2743</t>
  </si>
  <si>
    <t>9.32 * 5.77 * 3.67</t>
  </si>
  <si>
    <t>Crystal, Cavity, Needle</t>
  </si>
  <si>
    <t>G25-6761</t>
  </si>
  <si>
    <t>6.95 * 6.86 * 4.62</t>
  </si>
  <si>
    <t>Cloud, Crystal, Natural</t>
  </si>
  <si>
    <t>G25-7423</t>
  </si>
  <si>
    <t>6.99 * 6.83 * 4.61</t>
  </si>
  <si>
    <t>Needle, Pinpoint, Cloud, Natural</t>
  </si>
  <si>
    <t>16/12/2025</t>
  </si>
  <si>
    <t>G26-13713</t>
  </si>
  <si>
    <t>10.34 * 6.86 * 4.62</t>
  </si>
  <si>
    <t>11/03/2026</t>
  </si>
  <si>
    <t>G26-14369</t>
  </si>
  <si>
    <t>12.34 * 6.50 * 4.24</t>
  </si>
  <si>
    <t>Feather</t>
  </si>
  <si>
    <t>G26-11009</t>
  </si>
  <si>
    <t>10.14 * 6.66 * 4.44</t>
  </si>
  <si>
    <t>Cloud, Needle, Indented Natural</t>
  </si>
  <si>
    <t>G26-11591</t>
  </si>
  <si>
    <t>9.94 * 6.98 * 4.22</t>
  </si>
  <si>
    <t>Needle, Pinpoint, Indented Natural</t>
  </si>
  <si>
    <t>G26-13359</t>
  </si>
  <si>
    <t>9.80 * 7.00 * 4.39</t>
  </si>
  <si>
    <t>G26-13712</t>
  </si>
  <si>
    <t>9.73 * 6.93 * 4.51</t>
  </si>
  <si>
    <t>G26-11004</t>
  </si>
  <si>
    <t>9.82 * 7.02 * 4.47</t>
  </si>
  <si>
    <t>G26-14365</t>
  </si>
  <si>
    <t>9.90 * 6.61 * 4.47</t>
  </si>
  <si>
    <t>G26-9879</t>
  </si>
  <si>
    <t>9.87 * 7.04 * 4.46</t>
  </si>
  <si>
    <t>08/01/2026</t>
  </si>
  <si>
    <t>G26-13371</t>
  </si>
  <si>
    <t>8.87 * 7.67 * 5.05</t>
  </si>
  <si>
    <t>Twinning Wisp, Crystal, Feather, Cavity, Needle</t>
  </si>
  <si>
    <t>BC2 - BT0</t>
  </si>
  <si>
    <t>G26-10183</t>
  </si>
  <si>
    <t>8.58 * 7.03 * 5.32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</si>
</sst>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Cambria"/>
    </font>
    <font>
      <b/>
      <sz val="8"/>
      <color rgb="FF000000"/>
      <name val="Cambria"/>
    </font>
    <font>
      <u/>
      <sz val="11"/>
      <color rgb="FF0000FF"/>
      <name val="Calibri"/>
    </font>
    <font>
      <b/>
      <sz val="10"/>
      <color rgb="FF000000"/>
      <name val="Cambria"/>
    </font>
    <font>
      <sz val="10"/>
      <color rgb="FF000000"/>
      <name val="Cambria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CCC0D9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E6B8B9"/>
        <bgColor rgb="FFFFFFFF"/>
      </patternFill>
    </fill>
    <fill>
      <patternFill patternType="solid">
        <fgColor rgb="FFFAC090"/>
        <bgColor rgb="FFFFFFFF"/>
      </patternFill>
    </fill>
    <fill>
      <patternFill patternType="solid">
        <fgColor rgb="FF95B3D7"/>
        <bgColor rgb="FFFFFFFF"/>
      </patternFill>
    </fill>
    <fill>
      <patternFill patternType="solid">
        <fgColor indexed="1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2" fontId="4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" fontId="4" fillId="5" borderId="6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2" fontId="4" fillId="6" borderId="6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" fontId="4" fillId="6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32"/>
  <sheetViews>
    <sheetView tabSelected="1" topLeftCell="U1" workbookViewId="0">
      <selection activeCell="U1" sqref="U1:CH132"/>
    </sheetView>
  </sheetViews>
  <sheetFormatPr defaultRowHeight="14.4" x14ac:dyDescent="0.3"/>
  <cols>
    <col min="1" max="1" width="9.109375" style="2" customWidth="1"/>
    <col min="2" max="4" width="9.109375" style="7" customWidth="1"/>
    <col min="5" max="5" width="9.109375" style="2" customWidth="1"/>
    <col min="6" max="6" width="12.6640625" style="2" bestFit="1" customWidth="1"/>
    <col min="7" max="7" width="9.109375" style="2" customWidth="1"/>
    <col min="8" max="8" width="9.109375" style="3" customWidth="1"/>
    <col min="9" max="11" width="9.109375" style="2" customWidth="1"/>
    <col min="12" max="12" width="9.5546875" style="2" bestFit="1" customWidth="1"/>
    <col min="13" max="13" width="9.109375" style="3" customWidth="1"/>
    <col min="14" max="14" width="9.109375" style="2" customWidth="1"/>
    <col min="15" max="15" width="11.44140625" style="2" bestFit="1" customWidth="1"/>
    <col min="16" max="19" width="9.109375" style="2" customWidth="1"/>
    <col min="20" max="20" width="17.6640625" style="2" bestFit="1" customWidth="1"/>
    <col min="21" max="27" width="9.109375" style="3" customWidth="1"/>
    <col min="28" max="28" width="14.6640625" style="2" customWidth="1"/>
    <col min="29" max="29" width="9.109375" style="2" customWidth="1"/>
    <col min="30" max="30" width="17.88671875" style="2" bestFit="1" customWidth="1"/>
    <col min="31" max="34" width="9.109375" style="2" customWidth="1"/>
    <col min="35" max="36" width="23.88671875" style="4" customWidth="1"/>
    <col min="37" max="37" width="13.5546875" style="5" customWidth="1"/>
    <col min="38" max="38" width="23.44140625" style="5" bestFit="1" customWidth="1"/>
    <col min="39" max="39" width="20" bestFit="1" customWidth="1"/>
    <col min="40" max="40" width="14" bestFit="1" customWidth="1"/>
  </cols>
  <sheetData>
    <row r="1" spans="1:86" ht="15.75" customHeight="1" x14ac:dyDescent="0.3">
      <c r="A1" s="1"/>
      <c r="B1" s="1"/>
      <c r="C1" s="1"/>
      <c r="D1" s="1"/>
      <c r="E1" s="1"/>
      <c r="F1" s="1"/>
      <c r="G1" s="18"/>
      <c r="H1" s="18"/>
      <c r="I1" s="18"/>
      <c r="J1" s="18"/>
      <c r="K1" s="18"/>
      <c r="L1" s="18"/>
      <c r="M1" s="18"/>
      <c r="N1" s="18"/>
      <c r="O1" s="18"/>
      <c r="P1" s="18"/>
      <c r="Q1" s="12"/>
      <c r="R1" s="12"/>
      <c r="S1" s="12"/>
      <c r="T1" s="12"/>
      <c r="U1" s="8" t="s">
        <v>1</v>
      </c>
      <c r="V1" s="8" t="s">
        <v>2</v>
      </c>
      <c r="W1" s="8" t="s">
        <v>3</v>
      </c>
      <c r="X1" s="8" t="s">
        <v>4</v>
      </c>
      <c r="Y1" s="8" t="s">
        <v>5</v>
      </c>
      <c r="Z1" s="8" t="s">
        <v>6</v>
      </c>
      <c r="AA1" s="11" t="s">
        <v>7</v>
      </c>
      <c r="AB1" s="11" t="s">
        <v>8</v>
      </c>
      <c r="AC1" s="11" t="s">
        <v>9</v>
      </c>
      <c r="AD1" s="11" t="s">
        <v>10</v>
      </c>
      <c r="AE1" s="11" t="s">
        <v>11</v>
      </c>
      <c r="AF1" s="11" t="s">
        <v>12</v>
      </c>
      <c r="AG1" s="11" t="s">
        <v>13</v>
      </c>
      <c r="AH1" s="11" t="s">
        <v>14</v>
      </c>
      <c r="AI1" s="11" t="s">
        <v>15</v>
      </c>
      <c r="AJ1" s="11" t="s">
        <v>16</v>
      </c>
      <c r="AK1" s="11" t="s">
        <v>17</v>
      </c>
      <c r="AL1" s="11" t="s">
        <v>18</v>
      </c>
      <c r="AM1" s="11" t="s">
        <v>19</v>
      </c>
      <c r="AN1" s="11" t="s">
        <v>20</v>
      </c>
      <c r="AO1" s="11" t="s">
        <v>21</v>
      </c>
      <c r="AP1" s="11" t="s">
        <v>22</v>
      </c>
      <c r="AQ1" s="11" t="s">
        <v>23</v>
      </c>
      <c r="AR1" s="11" t="s">
        <v>24</v>
      </c>
      <c r="AS1" s="11" t="s">
        <v>25</v>
      </c>
      <c r="AT1" s="11" t="s">
        <v>26</v>
      </c>
      <c r="AU1" s="8" t="s">
        <v>1</v>
      </c>
      <c r="AV1" s="8" t="s">
        <v>2</v>
      </c>
      <c r="AW1" s="8" t="s">
        <v>3</v>
      </c>
      <c r="AX1" s="8" t="s">
        <v>4</v>
      </c>
      <c r="AY1" s="8" t="s">
        <v>5</v>
      </c>
      <c r="AZ1" s="8" t="s">
        <v>6</v>
      </c>
      <c r="BA1" s="11" t="s">
        <v>7</v>
      </c>
      <c r="BB1" s="11" t="s">
        <v>8</v>
      </c>
      <c r="BC1" s="11" t="s">
        <v>9</v>
      </c>
      <c r="BD1" s="11" t="s">
        <v>10</v>
      </c>
      <c r="BE1" s="11" t="s">
        <v>11</v>
      </c>
      <c r="BF1" s="11" t="s">
        <v>12</v>
      </c>
      <c r="BG1" s="11" t="s">
        <v>13</v>
      </c>
      <c r="BH1" s="11" t="s">
        <v>14</v>
      </c>
      <c r="BI1" s="11" t="s">
        <v>15</v>
      </c>
      <c r="BJ1" s="11" t="s">
        <v>16</v>
      </c>
      <c r="BK1" s="11" t="s">
        <v>17</v>
      </c>
      <c r="BL1" s="11" t="s">
        <v>18</v>
      </c>
      <c r="BM1" s="11" t="s">
        <v>19</v>
      </c>
      <c r="BN1" s="11" t="s">
        <v>20</v>
      </c>
      <c r="BO1" s="11" t="s">
        <v>21</v>
      </c>
      <c r="BP1" s="11" t="s">
        <v>22</v>
      </c>
      <c r="BQ1" s="11" t="s">
        <v>23</v>
      </c>
      <c r="BR1" s="11" t="s">
        <v>24</v>
      </c>
      <c r="BS1" s="11" t="s">
        <v>25</v>
      </c>
      <c r="BT1" s="11" t="s">
        <v>26</v>
      </c>
      <c r="BU1" s="8" t="s">
        <v>27</v>
      </c>
      <c r="BV1" s="8" t="s">
        <v>28</v>
      </c>
      <c r="BW1" s="8" t="s">
        <v>29</v>
      </c>
      <c r="BX1" s="8" t="s">
        <v>30</v>
      </c>
      <c r="BY1" s="8" t="s">
        <v>31</v>
      </c>
      <c r="BZ1" s="8" t="s">
        <v>32</v>
      </c>
      <c r="CA1" s="8" t="s">
        <v>33</v>
      </c>
      <c r="CB1" s="8" t="s">
        <v>34</v>
      </c>
      <c r="CC1" s="9" t="s">
        <v>35</v>
      </c>
      <c r="CD1" s="9" t="s">
        <v>36</v>
      </c>
      <c r="CE1" s="10" t="s">
        <v>37</v>
      </c>
      <c r="CF1" s="10" t="s">
        <v>38</v>
      </c>
      <c r="CG1" s="10" t="s">
        <v>39</v>
      </c>
      <c r="CH1" s="10" t="s">
        <v>40</v>
      </c>
    </row>
    <row r="2" spans="1:86" x14ac:dyDescent="0.3">
      <c r="A2" s="1"/>
      <c r="B2" s="1"/>
      <c r="C2" s="1"/>
      <c r="D2" s="1"/>
      <c r="E2" s="1"/>
      <c r="F2" s="1"/>
      <c r="G2" s="18"/>
      <c r="H2" s="18"/>
      <c r="I2" s="18"/>
      <c r="J2" s="18"/>
      <c r="K2" s="18"/>
      <c r="L2" s="18"/>
      <c r="M2" s="18"/>
      <c r="N2" s="18"/>
      <c r="O2" s="18"/>
      <c r="P2" s="18"/>
      <c r="Q2" s="12"/>
      <c r="R2" s="12"/>
      <c r="S2" s="12"/>
      <c r="T2" s="12"/>
      <c r="U2" s="13" t="s">
        <v>41</v>
      </c>
      <c r="V2" s="13" t="str">
        <f>HYPERLINK("https://diamdna.azureedge.net/imaged/ma25-2/still.jpg ","Image")</f>
        <v>Image</v>
      </c>
      <c r="W2" s="13" t="str">
        <f>HYPERLINK("https://diamdna.azureedge.net/Vision360.html?d=ma25-2&amp;sr=-30&amp;s=30 ","Video")</f>
        <v>Video</v>
      </c>
      <c r="X2" s="13" t="str">
        <f>HYPERLINK("https://diamdna.azureedge.net/imaged/ma25-2/video.mp4 ","Download")</f>
        <v>Download</v>
      </c>
      <c r="Y2" s="13" t="s">
        <v>42</v>
      </c>
      <c r="Z2" s="13" t="str">
        <f>HYPERLINK("https://diamdna.azureedge.net/reports/7542529481.pdf#zoom=150 ","7542529481")</f>
        <v>7542529481</v>
      </c>
      <c r="AA2" s="13" t="s">
        <v>43</v>
      </c>
      <c r="AB2" s="13">
        <v>10.07</v>
      </c>
      <c r="AC2" s="14" t="s">
        <v>44</v>
      </c>
      <c r="AD2" s="13" t="s">
        <v>45</v>
      </c>
      <c r="AE2" s="13">
        <v>44000</v>
      </c>
      <c r="AF2" s="14">
        <v>443080</v>
      </c>
      <c r="AG2" s="14">
        <v>-35</v>
      </c>
      <c r="AH2" s="14">
        <v>28600</v>
      </c>
      <c r="AI2" s="14">
        <v>288002</v>
      </c>
      <c r="AJ2" s="14" t="s">
        <v>46</v>
      </c>
      <c r="AK2" s="13" t="s">
        <v>46</v>
      </c>
      <c r="AL2" s="13" t="s">
        <v>46</v>
      </c>
      <c r="AM2" s="13" t="s">
        <v>47</v>
      </c>
      <c r="AN2" s="13" t="s">
        <v>48</v>
      </c>
      <c r="AO2" s="13">
        <v>59</v>
      </c>
      <c r="AP2" s="14">
        <v>61.6</v>
      </c>
      <c r="AQ2" s="14" t="s">
        <v>49</v>
      </c>
      <c r="AR2" s="13">
        <v>34</v>
      </c>
      <c r="AS2" s="14">
        <v>14</v>
      </c>
      <c r="AT2" s="14">
        <v>41.4</v>
      </c>
      <c r="AU2" s="13" t="s">
        <v>41</v>
      </c>
      <c r="AV2" s="13" t="str">
        <f>HYPERLINK("https://diamdna.azureedge.net/imaged/ma25-2/still.jpg ","Image")</f>
        <v>Image</v>
      </c>
      <c r="AW2" s="13" t="str">
        <f>HYPERLINK("https://diamdna.azureedge.net/Vision360.html?d=ma25-2&amp;sr=-30&amp;s=30 ","Video")</f>
        <v>Video</v>
      </c>
      <c r="AX2" s="13" t="str">
        <f>HYPERLINK("https://diamdna.azureedge.net/imaged/ma25-2/video.mp4 ","Download")</f>
        <v>Download</v>
      </c>
      <c r="AY2" s="13" t="s">
        <v>42</v>
      </c>
      <c r="AZ2" s="13" t="str">
        <f>HYPERLINK("https://diamdna.azureedge.net/reports/7542529481.pdf#zoom=150 ","7542529481")</f>
        <v>7542529481</v>
      </c>
      <c r="BA2" s="13" t="s">
        <v>43</v>
      </c>
      <c r="BB2" s="13">
        <v>10.07</v>
      </c>
      <c r="BC2" s="14" t="s">
        <v>44</v>
      </c>
      <c r="BD2" s="13" t="s">
        <v>45</v>
      </c>
      <c r="BE2" s="13">
        <v>44000</v>
      </c>
      <c r="BF2" s="14">
        <v>443080</v>
      </c>
      <c r="BG2" s="14">
        <v>-35</v>
      </c>
      <c r="BH2" s="14">
        <v>28600</v>
      </c>
      <c r="BI2" s="14">
        <v>288002</v>
      </c>
      <c r="BJ2" s="14" t="s">
        <v>46</v>
      </c>
      <c r="BK2" s="13" t="s">
        <v>46</v>
      </c>
      <c r="BL2" s="13" t="s">
        <v>46</v>
      </c>
      <c r="BM2" s="13" t="s">
        <v>47</v>
      </c>
      <c r="BN2" s="13" t="s">
        <v>48</v>
      </c>
      <c r="BO2" s="13">
        <v>59</v>
      </c>
      <c r="BP2" s="14">
        <v>61.6</v>
      </c>
      <c r="BQ2" s="14" t="s">
        <v>49</v>
      </c>
      <c r="BR2" s="13">
        <v>34</v>
      </c>
      <c r="BS2" s="14">
        <v>14</v>
      </c>
      <c r="BT2" s="14">
        <v>41.4</v>
      </c>
      <c r="BU2" s="14">
        <v>44</v>
      </c>
      <c r="BV2" s="14"/>
      <c r="BW2" s="13" t="s">
        <v>50</v>
      </c>
      <c r="BX2" s="13" t="s">
        <v>51</v>
      </c>
      <c r="BY2" s="13">
        <v>3.5</v>
      </c>
      <c r="BZ2" s="14">
        <v>1.01</v>
      </c>
      <c r="CA2" s="14" t="s">
        <v>52</v>
      </c>
      <c r="CB2" s="13" t="s">
        <v>53</v>
      </c>
      <c r="CC2" s="13"/>
      <c r="CD2" s="13" t="s">
        <v>54</v>
      </c>
      <c r="CE2" s="13" t="s">
        <v>55</v>
      </c>
      <c r="CF2" s="13" t="s">
        <v>56</v>
      </c>
      <c r="CG2" s="13" t="s">
        <v>57</v>
      </c>
      <c r="CH2" s="13" t="s">
        <v>58</v>
      </c>
    </row>
    <row r="3" spans="1:86" x14ac:dyDescent="0.3">
      <c r="A3" s="1"/>
      <c r="B3" s="1"/>
      <c r="C3" s="1"/>
      <c r="D3" s="1"/>
      <c r="E3" s="1"/>
      <c r="F3" s="1"/>
      <c r="G3" s="19"/>
      <c r="H3" s="19"/>
      <c r="I3" s="20"/>
      <c r="J3" s="21"/>
      <c r="K3" s="19"/>
      <c r="L3" s="20"/>
      <c r="M3" s="22"/>
      <c r="N3" s="20"/>
      <c r="O3" s="20"/>
      <c r="P3" s="22"/>
      <c r="Q3" s="12"/>
      <c r="R3" s="12"/>
      <c r="S3" s="12"/>
      <c r="T3" s="12"/>
      <c r="U3" s="13" t="s">
        <v>59</v>
      </c>
      <c r="V3" s="13" t="str">
        <f>HYPERLINK("https://diamdna.azureedge.net/imaged/dp-1/still.jpg ","Image")</f>
        <v>Image</v>
      </c>
      <c r="W3" s="13" t="str">
        <f>HYPERLINK("https://diamdna.azureedge.net/Vision360.html?d=dp-1&amp;sr=-30&amp;s=30 ","Video")</f>
        <v>Video</v>
      </c>
      <c r="X3" s="13" t="str">
        <f>HYPERLINK("https://diamdna.azureedge.net/imaged/dp-1/video.mp4 ","Download")</f>
        <v>Download</v>
      </c>
      <c r="Y3" s="13" t="s">
        <v>42</v>
      </c>
      <c r="Z3" s="13" t="str">
        <f>HYPERLINK("https://diamdna.azureedge.net/reports/1232495312.pdf#zoom=150 ","1232495312")</f>
        <v>1232495312</v>
      </c>
      <c r="AA3" s="13" t="s">
        <v>43</v>
      </c>
      <c r="AB3" s="13">
        <v>10.02</v>
      </c>
      <c r="AC3" s="14" t="s">
        <v>44</v>
      </c>
      <c r="AD3" s="13" t="s">
        <v>60</v>
      </c>
      <c r="AE3" s="13">
        <v>23500</v>
      </c>
      <c r="AF3" s="14">
        <v>235470</v>
      </c>
      <c r="AG3" s="14">
        <v>-29.5</v>
      </c>
      <c r="AH3" s="14">
        <v>16567.5</v>
      </c>
      <c r="AI3" s="14">
        <v>166006.35</v>
      </c>
      <c r="AJ3" s="14" t="s">
        <v>46</v>
      </c>
      <c r="AK3" s="13" t="s">
        <v>46</v>
      </c>
      <c r="AL3" s="13" t="s">
        <v>46</v>
      </c>
      <c r="AM3" s="13" t="s">
        <v>47</v>
      </c>
      <c r="AN3" s="13" t="s">
        <v>61</v>
      </c>
      <c r="AO3" s="13">
        <v>60</v>
      </c>
      <c r="AP3" s="14">
        <v>61.2</v>
      </c>
      <c r="AQ3" s="14" t="s">
        <v>49</v>
      </c>
      <c r="AR3" s="13">
        <v>33.5</v>
      </c>
      <c r="AS3" s="14">
        <v>13.5</v>
      </c>
      <c r="AT3" s="14">
        <v>41.2</v>
      </c>
      <c r="AU3" s="13" t="s">
        <v>59</v>
      </c>
      <c r="AV3" s="13" t="str">
        <f>HYPERLINK("https://diamdna.azureedge.net/imaged/dp-1/still.jpg ","Image")</f>
        <v>Image</v>
      </c>
      <c r="AW3" s="13" t="str">
        <f>HYPERLINK("https://diamdna.azureedge.net/Vision360.html?d=dp-1&amp;sr=-30&amp;s=30 ","Video")</f>
        <v>Video</v>
      </c>
      <c r="AX3" s="13" t="str">
        <f>HYPERLINK("https://diamdna.azureedge.net/imaged/dp-1/video.mp4 ","Download")</f>
        <v>Download</v>
      </c>
      <c r="AY3" s="13" t="s">
        <v>42</v>
      </c>
      <c r="AZ3" s="13" t="str">
        <f>HYPERLINK("https://diamdna.azureedge.net/reports/1232495312.pdf#zoom=150 ","1232495312")</f>
        <v>1232495312</v>
      </c>
      <c r="BA3" s="13" t="s">
        <v>43</v>
      </c>
      <c r="BB3" s="13">
        <v>10.02</v>
      </c>
      <c r="BC3" s="14" t="s">
        <v>44</v>
      </c>
      <c r="BD3" s="13" t="s">
        <v>60</v>
      </c>
      <c r="BE3" s="13">
        <v>23500</v>
      </c>
      <c r="BF3" s="14">
        <v>235470</v>
      </c>
      <c r="BG3" s="14">
        <v>-29.5</v>
      </c>
      <c r="BH3" s="14">
        <v>16567.5</v>
      </c>
      <c r="BI3" s="14">
        <v>166006.35</v>
      </c>
      <c r="BJ3" s="14" t="s">
        <v>46</v>
      </c>
      <c r="BK3" s="13" t="s">
        <v>46</v>
      </c>
      <c r="BL3" s="13" t="s">
        <v>46</v>
      </c>
      <c r="BM3" s="13" t="s">
        <v>47</v>
      </c>
      <c r="BN3" s="13" t="s">
        <v>61</v>
      </c>
      <c r="BO3" s="13">
        <v>60</v>
      </c>
      <c r="BP3" s="14">
        <v>61.2</v>
      </c>
      <c r="BQ3" s="14" t="s">
        <v>49</v>
      </c>
      <c r="BR3" s="13">
        <v>33.5</v>
      </c>
      <c r="BS3" s="14">
        <v>13.5</v>
      </c>
      <c r="BT3" s="14">
        <v>41.2</v>
      </c>
      <c r="BU3" s="14">
        <v>44</v>
      </c>
      <c r="BV3" s="14" t="s">
        <v>62</v>
      </c>
      <c r="BW3" s="13" t="s">
        <v>50</v>
      </c>
      <c r="BX3" s="13" t="s">
        <v>51</v>
      </c>
      <c r="BY3" s="13">
        <v>4</v>
      </c>
      <c r="BZ3" s="14">
        <v>1.01</v>
      </c>
      <c r="CA3" s="14" t="s">
        <v>63</v>
      </c>
      <c r="CB3" s="13" t="s">
        <v>53</v>
      </c>
      <c r="CC3" s="13" t="s">
        <v>64</v>
      </c>
      <c r="CD3" s="13" t="s">
        <v>54</v>
      </c>
      <c r="CE3" s="13" t="s">
        <v>55</v>
      </c>
      <c r="CF3" s="13" t="s">
        <v>56</v>
      </c>
      <c r="CG3" s="13" t="s">
        <v>65</v>
      </c>
      <c r="CH3" s="13" t="s">
        <v>66</v>
      </c>
    </row>
    <row r="4" spans="1:86" x14ac:dyDescent="0.3">
      <c r="A4" s="1"/>
      <c r="B4" s="1"/>
      <c r="C4" s="1"/>
      <c r="D4" s="1"/>
      <c r="E4" s="1"/>
      <c r="F4" s="1"/>
      <c r="G4" s="23"/>
      <c r="H4" s="23"/>
      <c r="I4" s="24"/>
      <c r="J4" s="25"/>
      <c r="K4" s="23"/>
      <c r="L4" s="24"/>
      <c r="M4" s="26"/>
      <c r="N4" s="24"/>
      <c r="O4" s="24"/>
      <c r="P4" s="26"/>
      <c r="Q4" s="12"/>
      <c r="R4" s="12"/>
      <c r="S4" s="12"/>
      <c r="T4" s="12"/>
      <c r="U4" s="13" t="s">
        <v>67</v>
      </c>
      <c r="V4" s="13" t="str">
        <f>HYPERLINK("https://diamdna.azureedge.net/imaged/ma25-25/still.jpg ","Image")</f>
        <v>Image</v>
      </c>
      <c r="W4" s="13" t="str">
        <f>HYPERLINK("https://diamdna.azureedge.net/Vision360.html?d=ma25-25&amp;sr=-30&amp;s=30 ","Video")</f>
        <v>Video</v>
      </c>
      <c r="X4" s="13" t="str">
        <f>HYPERLINK("https://diamdna.azureedge.net/imaged/ma25-25/video.mp4 ","Download")</f>
        <v>Download</v>
      </c>
      <c r="Y4" s="13" t="s">
        <v>42</v>
      </c>
      <c r="Z4" s="13" t="str">
        <f>HYPERLINK("https://diamdna.azureedge.net/reports/2235921971.pdf#zoom=150 ","2235921971")</f>
        <v>2235921971</v>
      </c>
      <c r="AA4" s="13" t="s">
        <v>68</v>
      </c>
      <c r="AB4" s="13">
        <v>10.02</v>
      </c>
      <c r="AC4" s="15" t="s">
        <v>69</v>
      </c>
      <c r="AD4" s="13" t="s">
        <v>70</v>
      </c>
      <c r="AE4" s="13">
        <v>51000</v>
      </c>
      <c r="AF4" s="14">
        <v>511020</v>
      </c>
      <c r="AG4" s="14">
        <v>-0.01</v>
      </c>
      <c r="AH4" s="14">
        <v>50994.9</v>
      </c>
      <c r="AI4" s="14">
        <v>510968.9</v>
      </c>
      <c r="AJ4" s="14" t="s">
        <v>50</v>
      </c>
      <c r="AK4" s="13" t="s">
        <v>46</v>
      </c>
      <c r="AL4" s="13" t="s">
        <v>46</v>
      </c>
      <c r="AM4" s="13" t="s">
        <v>47</v>
      </c>
      <c r="AN4" s="13" t="s">
        <v>71</v>
      </c>
      <c r="AO4" s="13">
        <v>66</v>
      </c>
      <c r="AP4" s="14">
        <v>64.3</v>
      </c>
      <c r="AQ4" s="14" t="s">
        <v>49</v>
      </c>
      <c r="AR4" s="13">
        <v>0</v>
      </c>
      <c r="AS4" s="14">
        <v>0</v>
      </c>
      <c r="AT4" s="14">
        <v>0</v>
      </c>
      <c r="AU4" s="13" t="s">
        <v>67</v>
      </c>
      <c r="AV4" s="13" t="str">
        <f>HYPERLINK("https://diamdna.azureedge.net/imaged/ma25-25/still.jpg ","Image")</f>
        <v>Image</v>
      </c>
      <c r="AW4" s="13" t="str">
        <f>HYPERLINK("https://diamdna.azureedge.net/Vision360.html?d=ma25-25&amp;sr=-30&amp;s=30 ","Video")</f>
        <v>Video</v>
      </c>
      <c r="AX4" s="13" t="str">
        <f>HYPERLINK("https://diamdna.azureedge.net/imaged/ma25-25/video.mp4 ","Download")</f>
        <v>Download</v>
      </c>
      <c r="AY4" s="13" t="s">
        <v>42</v>
      </c>
      <c r="AZ4" s="13" t="str">
        <f>HYPERLINK("https://diamdna.azureedge.net/reports/2235921971.pdf#zoom=150 ","2235921971")</f>
        <v>2235921971</v>
      </c>
      <c r="BA4" s="13" t="s">
        <v>68</v>
      </c>
      <c r="BB4" s="13">
        <v>10.02</v>
      </c>
      <c r="BC4" s="15" t="s">
        <v>69</v>
      </c>
      <c r="BD4" s="13" t="s">
        <v>70</v>
      </c>
      <c r="BE4" s="13">
        <v>51000</v>
      </c>
      <c r="BF4" s="14">
        <v>511020</v>
      </c>
      <c r="BG4" s="14">
        <v>-0.01</v>
      </c>
      <c r="BH4" s="14">
        <v>50994.9</v>
      </c>
      <c r="BI4" s="14">
        <v>510968.9</v>
      </c>
      <c r="BJ4" s="14" t="s">
        <v>50</v>
      </c>
      <c r="BK4" s="13" t="s">
        <v>46</v>
      </c>
      <c r="BL4" s="13" t="s">
        <v>46</v>
      </c>
      <c r="BM4" s="13" t="s">
        <v>47</v>
      </c>
      <c r="BN4" s="13" t="s">
        <v>71</v>
      </c>
      <c r="BO4" s="13">
        <v>66</v>
      </c>
      <c r="BP4" s="14">
        <v>64.3</v>
      </c>
      <c r="BQ4" s="14" t="s">
        <v>49</v>
      </c>
      <c r="BR4" s="13">
        <v>0</v>
      </c>
      <c r="BS4" s="14">
        <v>0</v>
      </c>
      <c r="BT4" s="14">
        <v>0</v>
      </c>
      <c r="BU4" s="14">
        <v>0</v>
      </c>
      <c r="BV4" s="14"/>
      <c r="BW4" s="13" t="s">
        <v>50</v>
      </c>
      <c r="BX4" s="13" t="s">
        <v>72</v>
      </c>
      <c r="BY4" s="13">
        <v>3.6</v>
      </c>
      <c r="BZ4" s="14">
        <v>1.49</v>
      </c>
      <c r="CA4" s="14" t="s">
        <v>52</v>
      </c>
      <c r="CB4" s="13" t="s">
        <v>54</v>
      </c>
      <c r="CC4" s="13" t="s">
        <v>73</v>
      </c>
      <c r="CD4" s="13" t="s">
        <v>54</v>
      </c>
      <c r="CE4" s="13" t="s">
        <v>55</v>
      </c>
      <c r="CF4" s="13" t="s">
        <v>56</v>
      </c>
      <c r="CG4" s="13" t="s">
        <v>57</v>
      </c>
      <c r="CH4" s="13" t="s">
        <v>74</v>
      </c>
    </row>
    <row r="5" spans="1:86" x14ac:dyDescent="0.3">
      <c r="U5" s="13" t="s">
        <v>75</v>
      </c>
      <c r="V5" s="13" t="str">
        <f>HYPERLINK("https://diamdna.azureedge.net/imaged/dq-2/still.jpg ","Image")</f>
        <v>Image</v>
      </c>
      <c r="W5" s="13" t="str">
        <f>HYPERLINK("https://diamdna.azureedge.net/Vision360.html?d=dq-2&amp;sr=-30&amp;s=30 ","Video")</f>
        <v>Video</v>
      </c>
      <c r="X5" s="13" t="str">
        <f>HYPERLINK("https://diamdna.azureedge.net/imaged/dq-2/video.mp4 ","Download")</f>
        <v>Download</v>
      </c>
      <c r="Y5" s="13" t="s">
        <v>76</v>
      </c>
      <c r="Z5" s="13" t="str">
        <f>HYPERLINK("https://diamdna.azureedge.net/reports/717543836.pdf#zoom=150 ","717543836")</f>
        <v>717543836</v>
      </c>
      <c r="AA5" s="13" t="s">
        <v>43</v>
      </c>
      <c r="AB5" s="13">
        <v>10.01</v>
      </c>
      <c r="AC5" s="14" t="s">
        <v>77</v>
      </c>
      <c r="AD5" s="13" t="s">
        <v>78</v>
      </c>
      <c r="AE5" s="13">
        <v>25500</v>
      </c>
      <c r="AF5" s="14">
        <v>255255</v>
      </c>
      <c r="AG5" s="14">
        <v>-56.5</v>
      </c>
      <c r="AH5" s="14">
        <v>11092.5</v>
      </c>
      <c r="AI5" s="14">
        <v>111035.93</v>
      </c>
      <c r="AJ5" s="14" t="s">
        <v>46</v>
      </c>
      <c r="AK5" s="13" t="s">
        <v>46</v>
      </c>
      <c r="AL5" s="13" t="s">
        <v>46</v>
      </c>
      <c r="AM5" s="13" t="s">
        <v>49</v>
      </c>
      <c r="AN5" s="13" t="s">
        <v>79</v>
      </c>
      <c r="AO5" s="13">
        <v>58</v>
      </c>
      <c r="AP5" s="14">
        <v>63.7</v>
      </c>
      <c r="AQ5" s="14" t="s">
        <v>80</v>
      </c>
      <c r="AR5" s="13">
        <v>36.200000000000003</v>
      </c>
      <c r="AS5" s="14">
        <v>15.5</v>
      </c>
      <c r="AT5" s="14">
        <v>41</v>
      </c>
      <c r="AU5" s="13" t="s">
        <v>75</v>
      </c>
      <c r="AV5" s="13" t="str">
        <f>HYPERLINK("https://diamdna.azureedge.net/imaged/dq-2/still.jpg ","Image")</f>
        <v>Image</v>
      </c>
      <c r="AW5" s="13" t="str">
        <f>HYPERLINK("https://diamdna.azureedge.net/Vision360.html?d=dq-2&amp;sr=-30&amp;s=30 ","Video")</f>
        <v>Video</v>
      </c>
      <c r="AX5" s="13" t="str">
        <f>HYPERLINK("https://diamdna.azureedge.net/imaged/dq-2/video.mp4 ","Download")</f>
        <v>Download</v>
      </c>
      <c r="AY5" s="13" t="s">
        <v>76</v>
      </c>
      <c r="AZ5" s="13" t="str">
        <f>HYPERLINK("https://diamdna.azureedge.net/reports/717543836.pdf#zoom=150 ","717543836")</f>
        <v>717543836</v>
      </c>
      <c r="BA5" s="13" t="s">
        <v>43</v>
      </c>
      <c r="BB5" s="13">
        <v>10.01</v>
      </c>
      <c r="BC5" s="14" t="s">
        <v>77</v>
      </c>
      <c r="BD5" s="13" t="s">
        <v>78</v>
      </c>
      <c r="BE5" s="13">
        <v>25500</v>
      </c>
      <c r="BF5" s="14">
        <v>255255</v>
      </c>
      <c r="BG5" s="14">
        <v>-56.5</v>
      </c>
      <c r="BH5" s="14">
        <v>11092.5</v>
      </c>
      <c r="BI5" s="14">
        <v>111035.93</v>
      </c>
      <c r="BJ5" s="14" t="s">
        <v>46</v>
      </c>
      <c r="BK5" s="13" t="s">
        <v>46</v>
      </c>
      <c r="BL5" s="13" t="s">
        <v>46</v>
      </c>
      <c r="BM5" s="13" t="s">
        <v>49</v>
      </c>
      <c r="BN5" s="13" t="s">
        <v>79</v>
      </c>
      <c r="BO5" s="13">
        <v>58</v>
      </c>
      <c r="BP5" s="14">
        <v>63.7</v>
      </c>
      <c r="BQ5" s="14" t="s">
        <v>80</v>
      </c>
      <c r="BR5" s="13">
        <v>36.200000000000003</v>
      </c>
      <c r="BS5" s="14">
        <v>15.5</v>
      </c>
      <c r="BT5" s="14">
        <v>41</v>
      </c>
      <c r="BU5" s="14">
        <v>43.5</v>
      </c>
      <c r="BV5" s="14"/>
      <c r="BW5" s="13" t="s">
        <v>50</v>
      </c>
      <c r="BX5" s="13" t="s">
        <v>81</v>
      </c>
      <c r="BY5" s="13">
        <v>5</v>
      </c>
      <c r="BZ5" s="14">
        <v>1.01</v>
      </c>
      <c r="CA5" s="14" t="s">
        <v>52</v>
      </c>
      <c r="CB5" s="13" t="s">
        <v>53</v>
      </c>
      <c r="CC5" s="13" t="s">
        <v>82</v>
      </c>
      <c r="CD5" s="13" t="s">
        <v>54</v>
      </c>
      <c r="CE5" s="13" t="s">
        <v>83</v>
      </c>
      <c r="CF5" s="13" t="s">
        <v>56</v>
      </c>
      <c r="CG5" s="13" t="s">
        <v>57</v>
      </c>
      <c r="CH5" s="13" t="s">
        <v>84</v>
      </c>
    </row>
    <row r="6" spans="1:86" x14ac:dyDescent="0.3">
      <c r="U6" s="13" t="s">
        <v>85</v>
      </c>
      <c r="V6" s="13" t="str">
        <f>HYPERLINK("https://diamdna.azureedge.net/imaged/ma25-20/still.jpg ","Image")</f>
        <v>Image</v>
      </c>
      <c r="W6" s="13" t="str">
        <f>HYPERLINK("https://diamdna.azureedge.net/Vision360.html?d=ma25-20&amp;sr=-30&amp;s=30 ","Video")</f>
        <v>Video</v>
      </c>
      <c r="X6" s="13" t="str">
        <f>HYPERLINK("https://diamdna.azureedge.net/imaged/ma25-20/video.mp4 ","Download")</f>
        <v>Download</v>
      </c>
      <c r="Y6" s="13" t="s">
        <v>42</v>
      </c>
      <c r="Z6" s="13" t="str">
        <f>HYPERLINK("https://diamdna.azureedge.net/reports/6541538783.pdf#zoom=150 ","6541538783")</f>
        <v>6541538783</v>
      </c>
      <c r="AA6" s="13" t="s">
        <v>86</v>
      </c>
      <c r="AB6" s="13">
        <v>8.1</v>
      </c>
      <c r="AC6" s="14" t="s">
        <v>69</v>
      </c>
      <c r="AD6" s="13" t="s">
        <v>70</v>
      </c>
      <c r="AE6" s="13">
        <v>32500</v>
      </c>
      <c r="AF6" s="14">
        <v>263250</v>
      </c>
      <c r="AG6" s="14">
        <v>-25</v>
      </c>
      <c r="AH6" s="14">
        <v>24375</v>
      </c>
      <c r="AI6" s="14">
        <v>197437.5</v>
      </c>
      <c r="AJ6" s="14" t="s">
        <v>50</v>
      </c>
      <c r="AK6" s="13" t="s">
        <v>46</v>
      </c>
      <c r="AL6" s="13" t="s">
        <v>46</v>
      </c>
      <c r="AM6" s="13" t="s">
        <v>87</v>
      </c>
      <c r="AN6" s="13" t="s">
        <v>88</v>
      </c>
      <c r="AO6" s="13">
        <v>65</v>
      </c>
      <c r="AP6" s="14">
        <v>69.099999999999994</v>
      </c>
      <c r="AQ6" s="14" t="s">
        <v>49</v>
      </c>
      <c r="AR6" s="13">
        <v>0</v>
      </c>
      <c r="AS6" s="14">
        <v>0</v>
      </c>
      <c r="AT6" s="14">
        <v>0</v>
      </c>
      <c r="AU6" s="13" t="s">
        <v>85</v>
      </c>
      <c r="AV6" s="13" t="str">
        <f>HYPERLINK("https://diamdna.azureedge.net/imaged/ma25-20/still.jpg ","Image")</f>
        <v>Image</v>
      </c>
      <c r="AW6" s="13" t="str">
        <f>HYPERLINK("https://diamdna.azureedge.net/Vision360.html?d=ma25-20&amp;sr=-30&amp;s=30 ","Video")</f>
        <v>Video</v>
      </c>
      <c r="AX6" s="13" t="str">
        <f>HYPERLINK("https://diamdna.azureedge.net/imaged/ma25-20/video.mp4 ","Download")</f>
        <v>Download</v>
      </c>
      <c r="AY6" s="13" t="s">
        <v>42</v>
      </c>
      <c r="AZ6" s="13" t="str">
        <f>HYPERLINK("https://diamdna.azureedge.net/reports/6541538783.pdf#zoom=150 ","6541538783")</f>
        <v>6541538783</v>
      </c>
      <c r="BA6" s="13" t="s">
        <v>86</v>
      </c>
      <c r="BB6" s="13">
        <v>8.1</v>
      </c>
      <c r="BC6" s="14" t="s">
        <v>69</v>
      </c>
      <c r="BD6" s="13" t="s">
        <v>70</v>
      </c>
      <c r="BE6" s="13">
        <v>32500</v>
      </c>
      <c r="BF6" s="14">
        <v>263250</v>
      </c>
      <c r="BG6" s="14">
        <v>-25</v>
      </c>
      <c r="BH6" s="14">
        <v>24375</v>
      </c>
      <c r="BI6" s="14">
        <v>197437.5</v>
      </c>
      <c r="BJ6" s="14" t="s">
        <v>50</v>
      </c>
      <c r="BK6" s="13" t="s">
        <v>46</v>
      </c>
      <c r="BL6" s="13" t="s">
        <v>46</v>
      </c>
      <c r="BM6" s="13" t="s">
        <v>87</v>
      </c>
      <c r="BN6" s="13" t="s">
        <v>88</v>
      </c>
      <c r="BO6" s="13">
        <v>65</v>
      </c>
      <c r="BP6" s="14">
        <v>69.099999999999994</v>
      </c>
      <c r="BQ6" s="14" t="s">
        <v>49</v>
      </c>
      <c r="BR6" s="13">
        <v>0</v>
      </c>
      <c r="BS6" s="14">
        <v>0</v>
      </c>
      <c r="BT6" s="14">
        <v>0</v>
      </c>
      <c r="BU6" s="14">
        <v>0</v>
      </c>
      <c r="BV6" s="14"/>
      <c r="BW6" s="13" t="s">
        <v>50</v>
      </c>
      <c r="BX6" s="13" t="s">
        <v>81</v>
      </c>
      <c r="BY6" s="13">
        <v>3.35</v>
      </c>
      <c r="BZ6" s="14">
        <v>1.42</v>
      </c>
      <c r="CA6" s="14" t="s">
        <v>52</v>
      </c>
      <c r="CB6" s="13" t="s">
        <v>54</v>
      </c>
      <c r="CC6" s="13" t="s">
        <v>73</v>
      </c>
      <c r="CD6" s="13" t="s">
        <v>54</v>
      </c>
      <c r="CE6" s="13" t="s">
        <v>55</v>
      </c>
      <c r="CF6" s="13" t="s">
        <v>56</v>
      </c>
      <c r="CG6" s="13" t="s">
        <v>57</v>
      </c>
      <c r="CH6" s="13" t="s">
        <v>89</v>
      </c>
    </row>
    <row r="7" spans="1:86" x14ac:dyDescent="0.3">
      <c r="U7" s="13" t="s">
        <v>90</v>
      </c>
      <c r="V7" s="13" t="str">
        <f>HYPERLINK("https://diamdna.azureedge.net/imaged/tb-7/still.jpg ","Image")</f>
        <v>Image</v>
      </c>
      <c r="W7" s="13" t="str">
        <f>HYPERLINK("https://diamdna.azureedge.net/Vision360.html?d=tb-7&amp;sr=-30&amp;s=30 ","Video")</f>
        <v>Video</v>
      </c>
      <c r="X7" s="13" t="str">
        <f>HYPERLINK("https://diamdna.azureedge.net/imaged/tb-7/video.mp4 ","Download")</f>
        <v>Download</v>
      </c>
      <c r="Y7" s="13" t="s">
        <v>42</v>
      </c>
      <c r="Z7" s="13" t="str">
        <f>HYPERLINK("https://diamdna.azureedge.net/reports/5234038396.pdf#zoom=150 ","5234038396")</f>
        <v>5234038396</v>
      </c>
      <c r="AA7" s="13" t="s">
        <v>43</v>
      </c>
      <c r="AB7" s="13">
        <v>8.02</v>
      </c>
      <c r="AC7" s="14" t="s">
        <v>91</v>
      </c>
      <c r="AD7" s="13" t="s">
        <v>45</v>
      </c>
      <c r="AE7" s="13">
        <v>100000</v>
      </c>
      <c r="AF7" s="14">
        <v>802000</v>
      </c>
      <c r="AG7" s="14">
        <v>-55</v>
      </c>
      <c r="AH7" s="14">
        <v>45000</v>
      </c>
      <c r="AI7" s="14">
        <v>360900</v>
      </c>
      <c r="AJ7" s="14" t="s">
        <v>46</v>
      </c>
      <c r="AK7" s="13" t="s">
        <v>46</v>
      </c>
      <c r="AL7" s="13" t="s">
        <v>46</v>
      </c>
      <c r="AM7" s="13" t="s">
        <v>47</v>
      </c>
      <c r="AN7" s="13" t="s">
        <v>92</v>
      </c>
      <c r="AO7" s="13">
        <v>59</v>
      </c>
      <c r="AP7" s="14">
        <v>61.4</v>
      </c>
      <c r="AQ7" s="14" t="s">
        <v>49</v>
      </c>
      <c r="AR7" s="13">
        <v>34.5</v>
      </c>
      <c r="AS7" s="14">
        <v>14.5</v>
      </c>
      <c r="AT7" s="14">
        <v>40.799999999999997</v>
      </c>
      <c r="AU7" s="13" t="s">
        <v>90</v>
      </c>
      <c r="AV7" s="13" t="str">
        <f>HYPERLINK("https://diamdna.azureedge.net/imaged/tb-7/still.jpg ","Image")</f>
        <v>Image</v>
      </c>
      <c r="AW7" s="13" t="str">
        <f>HYPERLINK("https://diamdna.azureedge.net/Vision360.html?d=tb-7&amp;sr=-30&amp;s=30 ","Video")</f>
        <v>Video</v>
      </c>
      <c r="AX7" s="13" t="str">
        <f>HYPERLINK("https://diamdna.azureedge.net/imaged/tb-7/video.mp4 ","Download")</f>
        <v>Download</v>
      </c>
      <c r="AY7" s="13" t="s">
        <v>42</v>
      </c>
      <c r="AZ7" s="13" t="str">
        <f>HYPERLINK("https://diamdna.azureedge.net/reports/5234038396.pdf#zoom=150 ","5234038396")</f>
        <v>5234038396</v>
      </c>
      <c r="BA7" s="13" t="s">
        <v>43</v>
      </c>
      <c r="BB7" s="13">
        <v>8.02</v>
      </c>
      <c r="BC7" s="14" t="s">
        <v>91</v>
      </c>
      <c r="BD7" s="13" t="s">
        <v>45</v>
      </c>
      <c r="BE7" s="13">
        <v>100000</v>
      </c>
      <c r="BF7" s="14">
        <v>802000</v>
      </c>
      <c r="BG7" s="14">
        <v>-55</v>
      </c>
      <c r="BH7" s="14">
        <v>45000</v>
      </c>
      <c r="BI7" s="14">
        <v>360900</v>
      </c>
      <c r="BJ7" s="14" t="s">
        <v>46</v>
      </c>
      <c r="BK7" s="13" t="s">
        <v>46</v>
      </c>
      <c r="BL7" s="13" t="s">
        <v>46</v>
      </c>
      <c r="BM7" s="13" t="s">
        <v>47</v>
      </c>
      <c r="BN7" s="13" t="s">
        <v>92</v>
      </c>
      <c r="BO7" s="13">
        <v>59</v>
      </c>
      <c r="BP7" s="14">
        <v>61.4</v>
      </c>
      <c r="BQ7" s="14" t="s">
        <v>49</v>
      </c>
      <c r="BR7" s="13">
        <v>34.5</v>
      </c>
      <c r="BS7" s="14">
        <v>14.5</v>
      </c>
      <c r="BT7" s="14">
        <v>40.799999999999997</v>
      </c>
      <c r="BU7" s="14">
        <v>43</v>
      </c>
      <c r="BV7" s="14"/>
      <c r="BW7" s="13" t="s">
        <v>50</v>
      </c>
      <c r="BX7" s="13" t="s">
        <v>51</v>
      </c>
      <c r="BY7" s="13">
        <v>4</v>
      </c>
      <c r="BZ7" s="14">
        <v>1.01</v>
      </c>
      <c r="CA7" s="14" t="s">
        <v>52</v>
      </c>
      <c r="CB7" s="13" t="s">
        <v>54</v>
      </c>
      <c r="CC7" s="13"/>
      <c r="CD7" s="13" t="s">
        <v>54</v>
      </c>
      <c r="CE7" s="13" t="s">
        <v>93</v>
      </c>
      <c r="CF7" s="13" t="s">
        <v>56</v>
      </c>
      <c r="CG7" s="13" t="s">
        <v>57</v>
      </c>
      <c r="CH7" s="13" t="s">
        <v>94</v>
      </c>
    </row>
    <row r="8" spans="1:86" x14ac:dyDescent="0.3">
      <c r="U8" s="13" t="s">
        <v>95</v>
      </c>
      <c r="V8" s="13" t="str">
        <f>HYPERLINK("https://diamdna.azureedge.net/imaged/do-1/still.jpg ","Image")</f>
        <v>Image</v>
      </c>
      <c r="W8" s="13" t="str">
        <f>HYPERLINK("https://diamdna.azureedge.net/Vision360.html?d=do-1&amp;sr=-30&amp;s=30 ","Video")</f>
        <v>Video</v>
      </c>
      <c r="X8" s="13" t="str">
        <f>HYPERLINK("https://diamdna.azureedge.net/imaged/do-1/video.mp4 ","Download")</f>
        <v>Download</v>
      </c>
      <c r="Y8" s="13" t="s">
        <v>42</v>
      </c>
      <c r="Z8" s="13" t="str">
        <f>HYPERLINK("https://diamdna.azureedge.net/reports/5231495325.pdf#zoom=150 ","5231495325")</f>
        <v>5231495325</v>
      </c>
      <c r="AA8" s="13" t="s">
        <v>43</v>
      </c>
      <c r="AB8" s="13">
        <v>7.12</v>
      </c>
      <c r="AC8" s="14" t="s">
        <v>96</v>
      </c>
      <c r="AD8" s="13" t="s">
        <v>60</v>
      </c>
      <c r="AE8" s="13">
        <v>29500</v>
      </c>
      <c r="AF8" s="14">
        <v>210040</v>
      </c>
      <c r="AG8" s="14">
        <v>-32</v>
      </c>
      <c r="AH8" s="14">
        <v>20060</v>
      </c>
      <c r="AI8" s="14">
        <v>142827.20000000001</v>
      </c>
      <c r="AJ8" s="14" t="s">
        <v>46</v>
      </c>
      <c r="AK8" s="13" t="s">
        <v>46</v>
      </c>
      <c r="AL8" s="13" t="s">
        <v>46</v>
      </c>
      <c r="AM8" s="13" t="s">
        <v>49</v>
      </c>
      <c r="AN8" s="13" t="s">
        <v>97</v>
      </c>
      <c r="AO8" s="13">
        <v>57</v>
      </c>
      <c r="AP8" s="14">
        <v>62.3</v>
      </c>
      <c r="AQ8" s="14" t="s">
        <v>49</v>
      </c>
      <c r="AR8" s="13">
        <v>35.5</v>
      </c>
      <c r="AS8" s="14">
        <v>15.5</v>
      </c>
      <c r="AT8" s="14">
        <v>40.799999999999997</v>
      </c>
      <c r="AU8" s="13" t="s">
        <v>95</v>
      </c>
      <c r="AV8" s="13" t="str">
        <f>HYPERLINK("https://diamdna.azureedge.net/imaged/do-1/still.jpg ","Image")</f>
        <v>Image</v>
      </c>
      <c r="AW8" s="13" t="str">
        <f>HYPERLINK("https://diamdna.azureedge.net/Vision360.html?d=do-1&amp;sr=-30&amp;s=30 ","Video")</f>
        <v>Video</v>
      </c>
      <c r="AX8" s="13" t="str">
        <f>HYPERLINK("https://diamdna.azureedge.net/imaged/do-1/video.mp4 ","Download")</f>
        <v>Download</v>
      </c>
      <c r="AY8" s="13" t="s">
        <v>42</v>
      </c>
      <c r="AZ8" s="13" t="str">
        <f>HYPERLINK("https://diamdna.azureedge.net/reports/5231495325.pdf#zoom=150 ","5231495325")</f>
        <v>5231495325</v>
      </c>
      <c r="BA8" s="13" t="s">
        <v>43</v>
      </c>
      <c r="BB8" s="13">
        <v>7.12</v>
      </c>
      <c r="BC8" s="14" t="s">
        <v>96</v>
      </c>
      <c r="BD8" s="13" t="s">
        <v>60</v>
      </c>
      <c r="BE8" s="13">
        <v>29500</v>
      </c>
      <c r="BF8" s="14">
        <v>210040</v>
      </c>
      <c r="BG8" s="14">
        <v>-32</v>
      </c>
      <c r="BH8" s="14">
        <v>20060</v>
      </c>
      <c r="BI8" s="14">
        <v>142827.20000000001</v>
      </c>
      <c r="BJ8" s="14" t="s">
        <v>46</v>
      </c>
      <c r="BK8" s="13" t="s">
        <v>46</v>
      </c>
      <c r="BL8" s="13" t="s">
        <v>46</v>
      </c>
      <c r="BM8" s="13" t="s">
        <v>49</v>
      </c>
      <c r="BN8" s="13" t="s">
        <v>97</v>
      </c>
      <c r="BO8" s="13">
        <v>57</v>
      </c>
      <c r="BP8" s="14">
        <v>62.3</v>
      </c>
      <c r="BQ8" s="14" t="s">
        <v>49</v>
      </c>
      <c r="BR8" s="13">
        <v>35.5</v>
      </c>
      <c r="BS8" s="14">
        <v>15.5</v>
      </c>
      <c r="BT8" s="14">
        <v>40.799999999999997</v>
      </c>
      <c r="BU8" s="14">
        <v>43</v>
      </c>
      <c r="BV8" s="14" t="s">
        <v>98</v>
      </c>
      <c r="BW8" s="13" t="s">
        <v>50</v>
      </c>
      <c r="BX8" s="13" t="s">
        <v>51</v>
      </c>
      <c r="BY8" s="13">
        <v>3.5</v>
      </c>
      <c r="BZ8" s="14">
        <v>1.01</v>
      </c>
      <c r="CA8" s="14" t="s">
        <v>99</v>
      </c>
      <c r="CB8" s="13" t="s">
        <v>53</v>
      </c>
      <c r="CC8" s="13" t="s">
        <v>64</v>
      </c>
      <c r="CD8" s="13" t="s">
        <v>54</v>
      </c>
      <c r="CE8" s="13" t="s">
        <v>100</v>
      </c>
      <c r="CF8" s="13" t="s">
        <v>56</v>
      </c>
      <c r="CG8" s="13" t="s">
        <v>57</v>
      </c>
      <c r="CH8" s="13" t="s">
        <v>66</v>
      </c>
    </row>
    <row r="9" spans="1:86" x14ac:dyDescent="0.3">
      <c r="U9" s="13" t="s">
        <v>101</v>
      </c>
      <c r="V9" s="13" t="str">
        <f>HYPERLINK("https://diamdna.azureedge.net/imaged/ki25-5/still.jpg ","Image")</f>
        <v>Image</v>
      </c>
      <c r="W9" s="13" t="str">
        <f>HYPERLINK("https://diamdna.azureedge.net/Vision360.html?d=ki25-5&amp;sr=-30&amp;s=30 ","Video")</f>
        <v>Video</v>
      </c>
      <c r="X9" s="13" t="str">
        <f>HYPERLINK("https://diamdna.azureedge.net/imaged/ki25-5/video.mp4 ","Download")</f>
        <v>Download</v>
      </c>
      <c r="Y9" s="13" t="s">
        <v>42</v>
      </c>
      <c r="Z9" s="13" t="str">
        <f>HYPERLINK("https://diamdna.azureedge.net/reports/6542360604.pdf#zoom=150 ","6542360604")</f>
        <v>6542360604</v>
      </c>
      <c r="AA9" s="13" t="s">
        <v>102</v>
      </c>
      <c r="AB9" s="13">
        <v>7.11</v>
      </c>
      <c r="AC9" s="14" t="s">
        <v>103</v>
      </c>
      <c r="AD9" s="13" t="s">
        <v>104</v>
      </c>
      <c r="AE9" s="13">
        <v>9500</v>
      </c>
      <c r="AF9" s="14">
        <v>67545</v>
      </c>
      <c r="AG9" s="14">
        <v>37</v>
      </c>
      <c r="AH9" s="14">
        <v>13015</v>
      </c>
      <c r="AI9" s="14">
        <v>92536.65</v>
      </c>
      <c r="AJ9" s="14" t="s">
        <v>50</v>
      </c>
      <c r="AK9" s="13" t="s">
        <v>46</v>
      </c>
      <c r="AL9" s="13" t="s">
        <v>46</v>
      </c>
      <c r="AM9" s="13" t="s">
        <v>47</v>
      </c>
      <c r="AN9" s="13" t="s">
        <v>105</v>
      </c>
      <c r="AO9" s="13">
        <v>56</v>
      </c>
      <c r="AP9" s="14">
        <v>68.7</v>
      </c>
      <c r="AQ9" s="14" t="s">
        <v>49</v>
      </c>
      <c r="AR9" s="13">
        <v>0</v>
      </c>
      <c r="AS9" s="14">
        <v>0</v>
      </c>
      <c r="AT9" s="14">
        <v>0</v>
      </c>
      <c r="AU9" s="13" t="s">
        <v>101</v>
      </c>
      <c r="AV9" s="13" t="str">
        <f>HYPERLINK("https://diamdna.azureedge.net/imaged/ki25-5/still.jpg ","Image")</f>
        <v>Image</v>
      </c>
      <c r="AW9" s="13" t="str">
        <f>HYPERLINK("https://diamdna.azureedge.net/Vision360.html?d=ki25-5&amp;sr=-30&amp;s=30 ","Video")</f>
        <v>Video</v>
      </c>
      <c r="AX9" s="13" t="str">
        <f>HYPERLINK("https://diamdna.azureedge.net/imaged/ki25-5/video.mp4 ","Download")</f>
        <v>Download</v>
      </c>
      <c r="AY9" s="13" t="s">
        <v>42</v>
      </c>
      <c r="AZ9" s="13" t="str">
        <f>HYPERLINK("https://diamdna.azureedge.net/reports/6542360604.pdf#zoom=150 ","6542360604")</f>
        <v>6542360604</v>
      </c>
      <c r="BA9" s="13" t="s">
        <v>102</v>
      </c>
      <c r="BB9" s="13">
        <v>7.11</v>
      </c>
      <c r="BC9" s="14" t="s">
        <v>103</v>
      </c>
      <c r="BD9" s="13" t="s">
        <v>104</v>
      </c>
      <c r="BE9" s="13">
        <v>9500</v>
      </c>
      <c r="BF9" s="14">
        <v>67545</v>
      </c>
      <c r="BG9" s="14">
        <v>37</v>
      </c>
      <c r="BH9" s="14">
        <v>13015</v>
      </c>
      <c r="BI9" s="14">
        <v>92536.65</v>
      </c>
      <c r="BJ9" s="14" t="s">
        <v>50</v>
      </c>
      <c r="BK9" s="13" t="s">
        <v>46</v>
      </c>
      <c r="BL9" s="13" t="s">
        <v>46</v>
      </c>
      <c r="BM9" s="13" t="s">
        <v>47</v>
      </c>
      <c r="BN9" s="13" t="s">
        <v>105</v>
      </c>
      <c r="BO9" s="13">
        <v>56</v>
      </c>
      <c r="BP9" s="14">
        <v>68.7</v>
      </c>
      <c r="BQ9" s="14" t="s">
        <v>49</v>
      </c>
      <c r="BR9" s="13">
        <v>0</v>
      </c>
      <c r="BS9" s="14">
        <v>0</v>
      </c>
      <c r="BT9" s="14">
        <v>0</v>
      </c>
      <c r="BU9" s="14">
        <v>0</v>
      </c>
      <c r="BV9" s="14" t="s">
        <v>106</v>
      </c>
      <c r="BW9" s="13" t="s">
        <v>50</v>
      </c>
      <c r="BX9" s="13" t="s">
        <v>107</v>
      </c>
      <c r="BY9" s="13">
        <v>4.3499999999999996</v>
      </c>
      <c r="BZ9" s="14">
        <v>1</v>
      </c>
      <c r="CA9" s="14" t="s">
        <v>108</v>
      </c>
      <c r="CB9" s="13" t="s">
        <v>54</v>
      </c>
      <c r="CC9" s="13" t="s">
        <v>109</v>
      </c>
      <c r="CD9" s="13" t="s">
        <v>54</v>
      </c>
      <c r="CE9" s="13" t="s">
        <v>110</v>
      </c>
      <c r="CF9" s="13" t="s">
        <v>56</v>
      </c>
      <c r="CG9" s="13" t="s">
        <v>57</v>
      </c>
      <c r="CH9" s="13" t="s">
        <v>111</v>
      </c>
    </row>
    <row r="10" spans="1:86" x14ac:dyDescent="0.3">
      <c r="U10" s="13" t="s">
        <v>112</v>
      </c>
      <c r="V10" s="13" t="str">
        <f>HYPERLINK("https://diamdna.azureedge.net/imaged/uk-4/still.jpg ","Image")</f>
        <v>Image</v>
      </c>
      <c r="W10" s="13" t="str">
        <f>HYPERLINK("https://diamdna.azureedge.net/Vision360.html?d=uk-4&amp;sr=-30&amp;s=30 ","Video")</f>
        <v>Video</v>
      </c>
      <c r="X10" s="13" t="str">
        <f>HYPERLINK("https://diamdna.azureedge.net/imaged/uk-4/video.mp4 ","Download")</f>
        <v>Download</v>
      </c>
      <c r="Y10" s="13" t="s">
        <v>42</v>
      </c>
      <c r="Z10" s="13" t="str">
        <f>HYPERLINK("https://diamdna.azureedge.net/reports/2235116615.pdf#zoom=150 ","2235116615")</f>
        <v>2235116615</v>
      </c>
      <c r="AA10" s="13" t="s">
        <v>113</v>
      </c>
      <c r="AB10" s="13">
        <v>7.01</v>
      </c>
      <c r="AC10" s="14" t="s">
        <v>44</v>
      </c>
      <c r="AD10" s="13" t="s">
        <v>60</v>
      </c>
      <c r="AE10" s="13">
        <v>16000</v>
      </c>
      <c r="AF10" s="14">
        <v>112160</v>
      </c>
      <c r="AG10" s="14">
        <v>-26</v>
      </c>
      <c r="AH10" s="14">
        <v>11840</v>
      </c>
      <c r="AI10" s="14">
        <v>82998.399999999994</v>
      </c>
      <c r="AJ10" s="14" t="s">
        <v>50</v>
      </c>
      <c r="AK10" s="13" t="s">
        <v>46</v>
      </c>
      <c r="AL10" s="13" t="s">
        <v>46</v>
      </c>
      <c r="AM10" s="13" t="s">
        <v>49</v>
      </c>
      <c r="AN10" s="13" t="s">
        <v>114</v>
      </c>
      <c r="AO10" s="13">
        <v>62</v>
      </c>
      <c r="AP10" s="14">
        <v>62.4</v>
      </c>
      <c r="AQ10" s="14" t="s">
        <v>49</v>
      </c>
      <c r="AR10" s="13">
        <v>35.9</v>
      </c>
      <c r="AS10" s="14">
        <v>0</v>
      </c>
      <c r="AT10" s="14">
        <v>0</v>
      </c>
      <c r="AU10" s="13" t="s">
        <v>112</v>
      </c>
      <c r="AV10" s="13" t="str">
        <f>HYPERLINK("https://diamdna.azureedge.net/imaged/uk-4/still.jpg ","Image")</f>
        <v>Image</v>
      </c>
      <c r="AW10" s="13" t="str">
        <f>HYPERLINK("https://diamdna.azureedge.net/Vision360.html?d=uk-4&amp;sr=-30&amp;s=30 ","Video")</f>
        <v>Video</v>
      </c>
      <c r="AX10" s="13" t="str">
        <f>HYPERLINK("https://diamdna.azureedge.net/imaged/uk-4/video.mp4 ","Download")</f>
        <v>Download</v>
      </c>
      <c r="AY10" s="13" t="s">
        <v>42</v>
      </c>
      <c r="AZ10" s="13" t="str">
        <f>HYPERLINK("https://diamdna.azureedge.net/reports/2235116615.pdf#zoom=150 ","2235116615")</f>
        <v>2235116615</v>
      </c>
      <c r="BA10" s="13" t="s">
        <v>113</v>
      </c>
      <c r="BB10" s="13">
        <v>7.01</v>
      </c>
      <c r="BC10" s="14" t="s">
        <v>44</v>
      </c>
      <c r="BD10" s="13" t="s">
        <v>60</v>
      </c>
      <c r="BE10" s="13">
        <v>16000</v>
      </c>
      <c r="BF10" s="14">
        <v>112160</v>
      </c>
      <c r="BG10" s="14">
        <v>-26</v>
      </c>
      <c r="BH10" s="14">
        <v>11840</v>
      </c>
      <c r="BI10" s="14">
        <v>82998.399999999994</v>
      </c>
      <c r="BJ10" s="14" t="s">
        <v>50</v>
      </c>
      <c r="BK10" s="13" t="s">
        <v>46</v>
      </c>
      <c r="BL10" s="13" t="s">
        <v>46</v>
      </c>
      <c r="BM10" s="13" t="s">
        <v>49</v>
      </c>
      <c r="BN10" s="13" t="s">
        <v>114</v>
      </c>
      <c r="BO10" s="13">
        <v>62</v>
      </c>
      <c r="BP10" s="14">
        <v>62.4</v>
      </c>
      <c r="BQ10" s="14" t="s">
        <v>49</v>
      </c>
      <c r="BR10" s="13">
        <v>35.9</v>
      </c>
      <c r="BS10" s="14">
        <v>0</v>
      </c>
      <c r="BT10" s="14">
        <v>0</v>
      </c>
      <c r="BU10" s="14">
        <v>0</v>
      </c>
      <c r="BV10" s="14" t="s">
        <v>98</v>
      </c>
      <c r="BW10" s="13" t="s">
        <v>50</v>
      </c>
      <c r="BX10" s="13" t="s">
        <v>72</v>
      </c>
      <c r="BY10" s="13">
        <v>3.6</v>
      </c>
      <c r="BZ10" s="14">
        <v>1.42</v>
      </c>
      <c r="CA10" s="14" t="s">
        <v>63</v>
      </c>
      <c r="CB10" s="13" t="s">
        <v>54</v>
      </c>
      <c r="CC10" s="13" t="s">
        <v>115</v>
      </c>
      <c r="CD10" s="13" t="s">
        <v>54</v>
      </c>
      <c r="CE10" s="13" t="s">
        <v>93</v>
      </c>
      <c r="CF10" s="13" t="s">
        <v>56</v>
      </c>
      <c r="CG10" s="13" t="s">
        <v>65</v>
      </c>
      <c r="CH10" s="13" t="s">
        <v>116</v>
      </c>
    </row>
    <row r="11" spans="1:86" x14ac:dyDescent="0.3">
      <c r="U11" s="13" t="s">
        <v>117</v>
      </c>
      <c r="V11" s="13" t="str">
        <f>HYPERLINK("https://diamdna.azureedge.net/imaged/ju25-1/still.jpg ","Image")</f>
        <v>Image</v>
      </c>
      <c r="W11" s="13" t="str">
        <f>HYPERLINK("https://diamdna.azureedge.net/Vision360.html?d=ju25-1&amp;sr=-30&amp;s=30 ","Video")</f>
        <v>Video</v>
      </c>
      <c r="X11" s="13" t="str">
        <f>HYPERLINK("https://diamdna.azureedge.net/imaged/ju25-1/video.mp4 ","Download")</f>
        <v>Download</v>
      </c>
      <c r="Y11" s="13" t="s">
        <v>42</v>
      </c>
      <c r="Z11" s="13" t="str">
        <f>HYPERLINK("https://diamdna.azureedge.net/reports/6532785177.pdf#zoom=150 ","6532785177")</f>
        <v>6532785177</v>
      </c>
      <c r="AA11" s="13" t="s">
        <v>118</v>
      </c>
      <c r="AB11" s="13">
        <v>5.66</v>
      </c>
      <c r="AC11" s="14" t="s">
        <v>119</v>
      </c>
      <c r="AD11" s="13" t="s">
        <v>70</v>
      </c>
      <c r="AE11" s="13">
        <v>42000</v>
      </c>
      <c r="AF11" s="14">
        <v>237720</v>
      </c>
      <c r="AG11" s="14">
        <v>-54</v>
      </c>
      <c r="AH11" s="14">
        <v>19320</v>
      </c>
      <c r="AI11" s="14">
        <v>109351.2</v>
      </c>
      <c r="AJ11" s="14" t="s">
        <v>50</v>
      </c>
      <c r="AK11" s="13" t="s">
        <v>46</v>
      </c>
      <c r="AL11" s="13" t="s">
        <v>120</v>
      </c>
      <c r="AM11" s="13" t="s">
        <v>87</v>
      </c>
      <c r="AN11" s="13" t="s">
        <v>121</v>
      </c>
      <c r="AO11" s="13">
        <v>61</v>
      </c>
      <c r="AP11" s="14">
        <v>59.6</v>
      </c>
      <c r="AQ11" s="14" t="s">
        <v>49</v>
      </c>
      <c r="AR11" s="13">
        <v>0</v>
      </c>
      <c r="AS11" s="14">
        <v>0</v>
      </c>
      <c r="AT11" s="14">
        <v>0</v>
      </c>
      <c r="AU11" s="13" t="s">
        <v>117</v>
      </c>
      <c r="AV11" s="13" t="str">
        <f>HYPERLINK("https://diamdna.azureedge.net/imaged/ju25-1/still.jpg ","Image")</f>
        <v>Image</v>
      </c>
      <c r="AW11" s="13" t="str">
        <f>HYPERLINK("https://diamdna.azureedge.net/Vision360.html?d=ju25-1&amp;sr=-30&amp;s=30 ","Video")</f>
        <v>Video</v>
      </c>
      <c r="AX11" s="13" t="str">
        <f>HYPERLINK("https://diamdna.azureedge.net/imaged/ju25-1/video.mp4 ","Download")</f>
        <v>Download</v>
      </c>
      <c r="AY11" s="13" t="s">
        <v>42</v>
      </c>
      <c r="AZ11" s="13" t="str">
        <f>HYPERLINK("https://diamdna.azureedge.net/reports/6532785177.pdf#zoom=150 ","6532785177")</f>
        <v>6532785177</v>
      </c>
      <c r="BA11" s="13" t="s">
        <v>118</v>
      </c>
      <c r="BB11" s="13">
        <v>5.66</v>
      </c>
      <c r="BC11" s="14" t="s">
        <v>119</v>
      </c>
      <c r="BD11" s="13" t="s">
        <v>70</v>
      </c>
      <c r="BE11" s="13">
        <v>42000</v>
      </c>
      <c r="BF11" s="14">
        <v>237720</v>
      </c>
      <c r="BG11" s="14">
        <v>-54</v>
      </c>
      <c r="BH11" s="14">
        <v>19320</v>
      </c>
      <c r="BI11" s="14">
        <v>109351.2</v>
      </c>
      <c r="BJ11" s="14" t="s">
        <v>50</v>
      </c>
      <c r="BK11" s="13" t="s">
        <v>46</v>
      </c>
      <c r="BL11" s="13" t="s">
        <v>120</v>
      </c>
      <c r="BM11" s="13" t="s">
        <v>87</v>
      </c>
      <c r="BN11" s="13" t="s">
        <v>121</v>
      </c>
      <c r="BO11" s="13">
        <v>61</v>
      </c>
      <c r="BP11" s="14">
        <v>59.6</v>
      </c>
      <c r="BQ11" s="14" t="s">
        <v>49</v>
      </c>
      <c r="BR11" s="13">
        <v>0</v>
      </c>
      <c r="BS11" s="14">
        <v>0</v>
      </c>
      <c r="BT11" s="14">
        <v>0</v>
      </c>
      <c r="BU11" s="14">
        <v>0</v>
      </c>
      <c r="BV11" s="14"/>
      <c r="BW11" s="13" t="s">
        <v>50</v>
      </c>
      <c r="BX11" s="13" t="s">
        <v>72</v>
      </c>
      <c r="BY11" s="13">
        <v>3.6</v>
      </c>
      <c r="BZ11" s="14">
        <v>0.85</v>
      </c>
      <c r="CA11" s="14" t="s">
        <v>52</v>
      </c>
      <c r="CB11" s="13" t="s">
        <v>54</v>
      </c>
      <c r="CC11" s="13" t="s">
        <v>73</v>
      </c>
      <c r="CD11" s="13" t="s">
        <v>54</v>
      </c>
      <c r="CE11" s="13" t="s">
        <v>55</v>
      </c>
      <c r="CF11" s="13" t="s">
        <v>122</v>
      </c>
      <c r="CG11" s="13" t="s">
        <v>57</v>
      </c>
      <c r="CH11" s="13" t="s">
        <v>123</v>
      </c>
    </row>
    <row r="12" spans="1:86" x14ac:dyDescent="0.3">
      <c r="U12" s="13" t="s">
        <v>124</v>
      </c>
      <c r="V12" s="13" t="str">
        <f>HYPERLINK("https://diamdna.azureedge.net/imaged/ma25-3/still.jpg ","Image")</f>
        <v>Image</v>
      </c>
      <c r="W12" s="13" t="str">
        <f>HYPERLINK("https://diamdna.azureedge.net/Vision360.html?d=ma25-3&amp;sr=-30&amp;s=30 ","Video")</f>
        <v>Video</v>
      </c>
      <c r="X12" s="13" t="str">
        <f>HYPERLINK("https://diamdna.azureedge.net/imaged/ma25-3/video.mp4 ","Download")</f>
        <v>Download</v>
      </c>
      <c r="Y12" s="13" t="s">
        <v>42</v>
      </c>
      <c r="Z12" s="13" t="str">
        <f>HYPERLINK("https://diamdna.azureedge.net/reports/6542473645.pdf#zoom=150 ","6542473645")</f>
        <v>6542473645</v>
      </c>
      <c r="AA12" s="13" t="s">
        <v>43</v>
      </c>
      <c r="AB12" s="13">
        <v>5.18</v>
      </c>
      <c r="AC12" s="14" t="s">
        <v>77</v>
      </c>
      <c r="AD12" s="13" t="s">
        <v>125</v>
      </c>
      <c r="AE12" s="13">
        <v>19500</v>
      </c>
      <c r="AF12" s="14">
        <v>101010</v>
      </c>
      <c r="AG12" s="14">
        <v>-39.5</v>
      </c>
      <c r="AH12" s="14">
        <v>11797.5</v>
      </c>
      <c r="AI12" s="14">
        <v>61111.05</v>
      </c>
      <c r="AJ12" s="14" t="s">
        <v>46</v>
      </c>
      <c r="AK12" s="13" t="s">
        <v>46</v>
      </c>
      <c r="AL12" s="13" t="s">
        <v>46</v>
      </c>
      <c r="AM12" s="13" t="s">
        <v>47</v>
      </c>
      <c r="AN12" s="13" t="s">
        <v>126</v>
      </c>
      <c r="AO12" s="13">
        <v>58</v>
      </c>
      <c r="AP12" s="14">
        <v>62.3</v>
      </c>
      <c r="AQ12" s="14" t="s">
        <v>49</v>
      </c>
      <c r="AR12" s="13">
        <v>36</v>
      </c>
      <c r="AS12" s="14">
        <v>15</v>
      </c>
      <c r="AT12" s="14">
        <v>41.2</v>
      </c>
      <c r="AU12" s="13" t="s">
        <v>124</v>
      </c>
      <c r="AV12" s="13" t="str">
        <f>HYPERLINK("https://diamdna.azureedge.net/imaged/ma25-3/still.jpg ","Image")</f>
        <v>Image</v>
      </c>
      <c r="AW12" s="13" t="str">
        <f>HYPERLINK("https://diamdna.azureedge.net/Vision360.html?d=ma25-3&amp;sr=-30&amp;s=30 ","Video")</f>
        <v>Video</v>
      </c>
      <c r="AX12" s="13" t="str">
        <f>HYPERLINK("https://diamdna.azureedge.net/imaged/ma25-3/video.mp4 ","Download")</f>
        <v>Download</v>
      </c>
      <c r="AY12" s="13" t="s">
        <v>42</v>
      </c>
      <c r="AZ12" s="13" t="str">
        <f>HYPERLINK("https://diamdna.azureedge.net/reports/6542473645.pdf#zoom=150 ","6542473645")</f>
        <v>6542473645</v>
      </c>
      <c r="BA12" s="13" t="s">
        <v>43</v>
      </c>
      <c r="BB12" s="13">
        <v>5.18</v>
      </c>
      <c r="BC12" s="14" t="s">
        <v>77</v>
      </c>
      <c r="BD12" s="13" t="s">
        <v>125</v>
      </c>
      <c r="BE12" s="13">
        <v>19500</v>
      </c>
      <c r="BF12" s="14">
        <v>101010</v>
      </c>
      <c r="BG12" s="14">
        <v>-39.5</v>
      </c>
      <c r="BH12" s="14">
        <v>11797.5</v>
      </c>
      <c r="BI12" s="14">
        <v>61111.05</v>
      </c>
      <c r="BJ12" s="14" t="s">
        <v>46</v>
      </c>
      <c r="BK12" s="13" t="s">
        <v>46</v>
      </c>
      <c r="BL12" s="13" t="s">
        <v>46</v>
      </c>
      <c r="BM12" s="13" t="s">
        <v>47</v>
      </c>
      <c r="BN12" s="13" t="s">
        <v>126</v>
      </c>
      <c r="BO12" s="13">
        <v>58</v>
      </c>
      <c r="BP12" s="14">
        <v>62.3</v>
      </c>
      <c r="BQ12" s="14" t="s">
        <v>49</v>
      </c>
      <c r="BR12" s="13">
        <v>36</v>
      </c>
      <c r="BS12" s="14">
        <v>15</v>
      </c>
      <c r="BT12" s="14">
        <v>41.2</v>
      </c>
      <c r="BU12" s="14">
        <v>43.5</v>
      </c>
      <c r="BV12" s="14" t="s">
        <v>127</v>
      </c>
      <c r="BW12" s="13" t="s">
        <v>50</v>
      </c>
      <c r="BX12" s="13" t="s">
        <v>51</v>
      </c>
      <c r="BY12" s="13">
        <v>3.5</v>
      </c>
      <c r="BZ12" s="14">
        <v>1.01</v>
      </c>
      <c r="CA12" s="14" t="s">
        <v>52</v>
      </c>
      <c r="CB12" s="13" t="s">
        <v>128</v>
      </c>
      <c r="CC12" s="13" t="s">
        <v>129</v>
      </c>
      <c r="CD12" s="13" t="s">
        <v>54</v>
      </c>
      <c r="CE12" s="13" t="s">
        <v>55</v>
      </c>
      <c r="CF12" s="13" t="s">
        <v>56</v>
      </c>
      <c r="CG12" s="13" t="s">
        <v>130</v>
      </c>
      <c r="CH12" s="13" t="s">
        <v>131</v>
      </c>
    </row>
    <row r="13" spans="1:86" x14ac:dyDescent="0.3">
      <c r="U13" s="13" t="s">
        <v>132</v>
      </c>
      <c r="V13" s="13" t="str">
        <f>HYPERLINK("https://diamdna.azureedge.net/imaged/sq-3/still.jpg ","Image")</f>
        <v>Image</v>
      </c>
      <c r="W13" s="13" t="str">
        <f>HYPERLINK("https://diamdna.azureedge.net/Vision360.html?d=sq-3&amp;sr=-30&amp;s=30 ","Video")</f>
        <v>Video</v>
      </c>
      <c r="X13" s="13" t="str">
        <f>HYPERLINK("https://diamdna.azureedge.net/imaged/sq-3/video.mp4 ","Download")</f>
        <v>Download</v>
      </c>
      <c r="Y13" s="13" t="s">
        <v>42</v>
      </c>
      <c r="Z13" s="13" t="str">
        <f>HYPERLINK("https://diamdna.azureedge.net/reports/2468830993.pdf#zoom=150 ","2468830993")</f>
        <v>2468830993</v>
      </c>
      <c r="AA13" s="13" t="s">
        <v>43</v>
      </c>
      <c r="AB13" s="13">
        <v>5.12</v>
      </c>
      <c r="AC13" s="14" t="s">
        <v>91</v>
      </c>
      <c r="AD13" s="13" t="s">
        <v>133</v>
      </c>
      <c r="AE13" s="13">
        <v>43000</v>
      </c>
      <c r="AF13" s="14">
        <v>220160</v>
      </c>
      <c r="AG13" s="14">
        <v>-50</v>
      </c>
      <c r="AH13" s="14">
        <v>21500</v>
      </c>
      <c r="AI13" s="14">
        <v>110080</v>
      </c>
      <c r="AJ13" s="14" t="s">
        <v>46</v>
      </c>
      <c r="AK13" s="13" t="s">
        <v>46</v>
      </c>
      <c r="AL13" s="13" t="s">
        <v>46</v>
      </c>
      <c r="AM13" s="13" t="s">
        <v>134</v>
      </c>
      <c r="AN13" s="13" t="s">
        <v>135</v>
      </c>
      <c r="AO13" s="13">
        <v>56</v>
      </c>
      <c r="AP13" s="14">
        <v>62.8</v>
      </c>
      <c r="AQ13" s="14" t="s">
        <v>49</v>
      </c>
      <c r="AR13" s="13">
        <v>35.5</v>
      </c>
      <c r="AS13" s="14">
        <v>15.5</v>
      </c>
      <c r="AT13" s="14">
        <v>41.2</v>
      </c>
      <c r="AU13" s="13" t="s">
        <v>132</v>
      </c>
      <c r="AV13" s="13" t="str">
        <f>HYPERLINK("https://diamdna.azureedge.net/imaged/sq-3/still.jpg ","Image")</f>
        <v>Image</v>
      </c>
      <c r="AW13" s="13" t="str">
        <f>HYPERLINK("https://diamdna.azureedge.net/Vision360.html?d=sq-3&amp;sr=-30&amp;s=30 ","Video")</f>
        <v>Video</v>
      </c>
      <c r="AX13" s="13" t="str">
        <f>HYPERLINK("https://diamdna.azureedge.net/imaged/sq-3/video.mp4 ","Download")</f>
        <v>Download</v>
      </c>
      <c r="AY13" s="13" t="s">
        <v>42</v>
      </c>
      <c r="AZ13" s="13" t="str">
        <f>HYPERLINK("https://diamdna.azureedge.net/reports/2468830993.pdf#zoom=150 ","2468830993")</f>
        <v>2468830993</v>
      </c>
      <c r="BA13" s="13" t="s">
        <v>43</v>
      </c>
      <c r="BB13" s="13">
        <v>5.12</v>
      </c>
      <c r="BC13" s="14" t="s">
        <v>91</v>
      </c>
      <c r="BD13" s="13" t="s">
        <v>133</v>
      </c>
      <c r="BE13" s="13">
        <v>43000</v>
      </c>
      <c r="BF13" s="14">
        <v>220160</v>
      </c>
      <c r="BG13" s="14">
        <v>-50</v>
      </c>
      <c r="BH13" s="14">
        <v>21500</v>
      </c>
      <c r="BI13" s="14">
        <v>110080</v>
      </c>
      <c r="BJ13" s="14" t="s">
        <v>46</v>
      </c>
      <c r="BK13" s="13" t="s">
        <v>46</v>
      </c>
      <c r="BL13" s="13" t="s">
        <v>46</v>
      </c>
      <c r="BM13" s="13" t="s">
        <v>134</v>
      </c>
      <c r="BN13" s="13" t="s">
        <v>135</v>
      </c>
      <c r="BO13" s="13">
        <v>56</v>
      </c>
      <c r="BP13" s="14">
        <v>62.8</v>
      </c>
      <c r="BQ13" s="14" t="s">
        <v>49</v>
      </c>
      <c r="BR13" s="13">
        <v>35.5</v>
      </c>
      <c r="BS13" s="14">
        <v>15.5</v>
      </c>
      <c r="BT13" s="14">
        <v>41.2</v>
      </c>
      <c r="BU13" s="14">
        <v>43.5</v>
      </c>
      <c r="BV13" s="14" t="s">
        <v>136</v>
      </c>
      <c r="BW13" s="13" t="s">
        <v>50</v>
      </c>
      <c r="BX13" s="13" t="s">
        <v>51</v>
      </c>
      <c r="BY13" s="13">
        <v>3.5</v>
      </c>
      <c r="BZ13" s="14">
        <v>1.01</v>
      </c>
      <c r="CA13" s="14" t="s">
        <v>137</v>
      </c>
      <c r="CB13" s="13" t="s">
        <v>53</v>
      </c>
      <c r="CC13" s="13" t="s">
        <v>138</v>
      </c>
      <c r="CD13" s="13" t="s">
        <v>54</v>
      </c>
      <c r="CE13" s="13" t="s">
        <v>93</v>
      </c>
      <c r="CF13" s="13" t="s">
        <v>56</v>
      </c>
      <c r="CG13" s="13" t="s">
        <v>57</v>
      </c>
      <c r="CH13" s="13" t="s">
        <v>139</v>
      </c>
    </row>
    <row r="14" spans="1:86" x14ac:dyDescent="0.3">
      <c r="U14" s="13" t="s">
        <v>140</v>
      </c>
      <c r="V14" s="13" t="str">
        <f>HYPERLINK("https://diamdna.azureedge.net/imaged/lp25-1/still.jpg ","Image")</f>
        <v>Image</v>
      </c>
      <c r="W14" s="13" t="str">
        <f>HYPERLINK("https://diamdna.azureedge.net/Vision360.html?d=lp25-1&amp;sr=-30&amp;s=30 ","Video")</f>
        <v>Video</v>
      </c>
      <c r="X14" s="13" t="str">
        <f>HYPERLINK("https://diamdna.azureedge.net/imaged/lp25-1/video.mp4 ","Download")</f>
        <v>Download</v>
      </c>
      <c r="Y14" s="13" t="s">
        <v>42</v>
      </c>
      <c r="Z14" s="13" t="str">
        <f>HYPERLINK("https://diamdna.azureedge.net/reports/7546416479.pdf#zoom=150 ","7546416479")</f>
        <v>7546416479</v>
      </c>
      <c r="AA14" s="13" t="s">
        <v>43</v>
      </c>
      <c r="AB14" s="13">
        <v>5.07</v>
      </c>
      <c r="AC14" s="14" t="s">
        <v>119</v>
      </c>
      <c r="AD14" s="13" t="s">
        <v>70</v>
      </c>
      <c r="AE14" s="13">
        <v>48000</v>
      </c>
      <c r="AF14" s="14">
        <v>243360</v>
      </c>
      <c r="AG14" s="14">
        <v>-60</v>
      </c>
      <c r="AH14" s="14">
        <v>19200</v>
      </c>
      <c r="AI14" s="14">
        <v>97344</v>
      </c>
      <c r="AJ14" s="14" t="s">
        <v>46</v>
      </c>
      <c r="AK14" s="13" t="s">
        <v>46</v>
      </c>
      <c r="AL14" s="13" t="s">
        <v>46</v>
      </c>
      <c r="AM14" s="13" t="s">
        <v>87</v>
      </c>
      <c r="AN14" s="13" t="s">
        <v>141</v>
      </c>
      <c r="AO14" s="13">
        <v>57</v>
      </c>
      <c r="AP14" s="14">
        <v>62</v>
      </c>
      <c r="AQ14" s="14" t="s">
        <v>49</v>
      </c>
      <c r="AR14" s="13">
        <v>35</v>
      </c>
      <c r="AS14" s="14">
        <v>15</v>
      </c>
      <c r="AT14" s="14">
        <v>41.2</v>
      </c>
      <c r="AU14" s="13" t="s">
        <v>140</v>
      </c>
      <c r="AV14" s="13" t="str">
        <f>HYPERLINK("https://diamdna.azureedge.net/imaged/lp25-1/still.jpg ","Image")</f>
        <v>Image</v>
      </c>
      <c r="AW14" s="13" t="str">
        <f>HYPERLINK("https://diamdna.azureedge.net/Vision360.html?d=lp25-1&amp;sr=-30&amp;s=30 ","Video")</f>
        <v>Video</v>
      </c>
      <c r="AX14" s="13" t="str">
        <f>HYPERLINK("https://diamdna.azureedge.net/imaged/lp25-1/video.mp4 ","Download")</f>
        <v>Download</v>
      </c>
      <c r="AY14" s="13" t="s">
        <v>42</v>
      </c>
      <c r="AZ14" s="13" t="str">
        <f>HYPERLINK("https://diamdna.azureedge.net/reports/7546416479.pdf#zoom=150 ","7546416479")</f>
        <v>7546416479</v>
      </c>
      <c r="BA14" s="13" t="s">
        <v>43</v>
      </c>
      <c r="BB14" s="13">
        <v>5.07</v>
      </c>
      <c r="BC14" s="14" t="s">
        <v>119</v>
      </c>
      <c r="BD14" s="13" t="s">
        <v>70</v>
      </c>
      <c r="BE14" s="13">
        <v>48000</v>
      </c>
      <c r="BF14" s="14">
        <v>243360</v>
      </c>
      <c r="BG14" s="14">
        <v>-60</v>
      </c>
      <c r="BH14" s="14">
        <v>19200</v>
      </c>
      <c r="BI14" s="14">
        <v>97344</v>
      </c>
      <c r="BJ14" s="14" t="s">
        <v>46</v>
      </c>
      <c r="BK14" s="13" t="s">
        <v>46</v>
      </c>
      <c r="BL14" s="13" t="s">
        <v>46</v>
      </c>
      <c r="BM14" s="13" t="s">
        <v>87</v>
      </c>
      <c r="BN14" s="13" t="s">
        <v>141</v>
      </c>
      <c r="BO14" s="13">
        <v>57</v>
      </c>
      <c r="BP14" s="14">
        <v>62</v>
      </c>
      <c r="BQ14" s="14" t="s">
        <v>49</v>
      </c>
      <c r="BR14" s="13">
        <v>35</v>
      </c>
      <c r="BS14" s="14">
        <v>15</v>
      </c>
      <c r="BT14" s="14">
        <v>41.2</v>
      </c>
      <c r="BU14" s="14">
        <v>43.5</v>
      </c>
      <c r="BV14" s="14"/>
      <c r="BW14" s="13" t="s">
        <v>50</v>
      </c>
      <c r="BX14" s="13" t="s">
        <v>142</v>
      </c>
      <c r="BY14" s="13">
        <v>3</v>
      </c>
      <c r="BZ14" s="14">
        <v>1.01</v>
      </c>
      <c r="CA14" s="14" t="s">
        <v>52</v>
      </c>
      <c r="CB14" s="13" t="s">
        <v>53</v>
      </c>
      <c r="CC14" s="13" t="s">
        <v>73</v>
      </c>
      <c r="CD14" s="13" t="s">
        <v>54</v>
      </c>
      <c r="CE14" s="13" t="s">
        <v>143</v>
      </c>
      <c r="CF14" s="13" t="s">
        <v>56</v>
      </c>
      <c r="CG14" s="13" t="s">
        <v>57</v>
      </c>
      <c r="CH14" s="13" t="s">
        <v>144</v>
      </c>
    </row>
    <row r="15" spans="1:86" x14ac:dyDescent="0.3">
      <c r="U15" s="13" t="s">
        <v>145</v>
      </c>
      <c r="V15" s="13" t="str">
        <f>HYPERLINK("https://diamdna.azureedge.net/imaged/ma25-26/still.jpg ","Image")</f>
        <v>Image</v>
      </c>
      <c r="W15" s="13" t="str">
        <f>HYPERLINK("https://diamdna.azureedge.net/Vision360.html?d=ma25-26&amp;sr=-30&amp;s=30 ","Video")</f>
        <v>Video</v>
      </c>
      <c r="X15" s="13" t="str">
        <f>HYPERLINK("https://diamdna.azureedge.net/imaged/ma25-26/video.mp4 ","Download")</f>
        <v>Download</v>
      </c>
      <c r="Y15" s="13" t="s">
        <v>42</v>
      </c>
      <c r="Z15" s="13" t="str">
        <f>HYPERLINK("https://diamdna.azureedge.net/reports/6541657088.pdf#zoom=150 ","6541657088")</f>
        <v>6541657088</v>
      </c>
      <c r="AA15" s="13" t="s">
        <v>146</v>
      </c>
      <c r="AB15" s="13">
        <v>5.07</v>
      </c>
      <c r="AC15" s="14" t="s">
        <v>119</v>
      </c>
      <c r="AD15" s="13" t="s">
        <v>147</v>
      </c>
      <c r="AE15" s="13">
        <v>38500</v>
      </c>
      <c r="AF15" s="14">
        <v>195195</v>
      </c>
      <c r="AG15" s="14">
        <v>-41.5</v>
      </c>
      <c r="AH15" s="14">
        <v>22522.5</v>
      </c>
      <c r="AI15" s="14">
        <v>114189.08</v>
      </c>
      <c r="AJ15" s="14" t="s">
        <v>50</v>
      </c>
      <c r="AK15" s="13" t="s">
        <v>46</v>
      </c>
      <c r="AL15" s="13" t="s">
        <v>46</v>
      </c>
      <c r="AM15" s="13" t="s">
        <v>47</v>
      </c>
      <c r="AN15" s="13" t="s">
        <v>148</v>
      </c>
      <c r="AO15" s="13">
        <v>61</v>
      </c>
      <c r="AP15" s="14">
        <v>62.8</v>
      </c>
      <c r="AQ15" s="14" t="s">
        <v>49</v>
      </c>
      <c r="AR15" s="13">
        <v>0</v>
      </c>
      <c r="AS15" s="14">
        <v>0</v>
      </c>
      <c r="AT15" s="14">
        <v>0</v>
      </c>
      <c r="AU15" s="13" t="s">
        <v>145</v>
      </c>
      <c r="AV15" s="13" t="str">
        <f>HYPERLINK("https://diamdna.azureedge.net/imaged/ma25-26/still.jpg ","Image")</f>
        <v>Image</v>
      </c>
      <c r="AW15" s="13" t="str">
        <f>HYPERLINK("https://diamdna.azureedge.net/Vision360.html?d=ma25-26&amp;sr=-30&amp;s=30 ","Video")</f>
        <v>Video</v>
      </c>
      <c r="AX15" s="13" t="str">
        <f>HYPERLINK("https://diamdna.azureedge.net/imaged/ma25-26/video.mp4 ","Download")</f>
        <v>Download</v>
      </c>
      <c r="AY15" s="13" t="s">
        <v>42</v>
      </c>
      <c r="AZ15" s="13" t="str">
        <f>HYPERLINK("https://diamdna.azureedge.net/reports/6541657088.pdf#zoom=150 ","6541657088")</f>
        <v>6541657088</v>
      </c>
      <c r="BA15" s="13" t="s">
        <v>146</v>
      </c>
      <c r="BB15" s="13">
        <v>5.07</v>
      </c>
      <c r="BC15" s="14" t="s">
        <v>119</v>
      </c>
      <c r="BD15" s="13" t="s">
        <v>147</v>
      </c>
      <c r="BE15" s="13">
        <v>38500</v>
      </c>
      <c r="BF15" s="14">
        <v>195195</v>
      </c>
      <c r="BG15" s="14">
        <v>-41.5</v>
      </c>
      <c r="BH15" s="14">
        <v>22522.5</v>
      </c>
      <c r="BI15" s="14">
        <v>114189.08</v>
      </c>
      <c r="BJ15" s="14" t="s">
        <v>50</v>
      </c>
      <c r="BK15" s="13" t="s">
        <v>46</v>
      </c>
      <c r="BL15" s="13" t="s">
        <v>46</v>
      </c>
      <c r="BM15" s="13" t="s">
        <v>47</v>
      </c>
      <c r="BN15" s="13" t="s">
        <v>148</v>
      </c>
      <c r="BO15" s="13">
        <v>61</v>
      </c>
      <c r="BP15" s="14">
        <v>62.8</v>
      </c>
      <c r="BQ15" s="14" t="s">
        <v>49</v>
      </c>
      <c r="BR15" s="13">
        <v>0</v>
      </c>
      <c r="BS15" s="14">
        <v>0</v>
      </c>
      <c r="BT15" s="14">
        <v>0</v>
      </c>
      <c r="BU15" s="14">
        <v>0</v>
      </c>
      <c r="BV15" s="14" t="s">
        <v>149</v>
      </c>
      <c r="BW15" s="13" t="s">
        <v>50</v>
      </c>
      <c r="BX15" s="13" t="s">
        <v>72</v>
      </c>
      <c r="BY15" s="13">
        <v>3.6</v>
      </c>
      <c r="BZ15" s="14">
        <v>1.6</v>
      </c>
      <c r="CA15" s="14" t="s">
        <v>52</v>
      </c>
      <c r="CB15" s="13" t="s">
        <v>54</v>
      </c>
      <c r="CC15" s="13"/>
      <c r="CD15" s="13" t="s">
        <v>54</v>
      </c>
      <c r="CE15" s="13" t="s">
        <v>55</v>
      </c>
      <c r="CF15" s="13" t="s">
        <v>56</v>
      </c>
      <c r="CG15" s="13" t="s">
        <v>57</v>
      </c>
      <c r="CH15" s="13" t="s">
        <v>150</v>
      </c>
    </row>
    <row r="16" spans="1:86" x14ac:dyDescent="0.3">
      <c r="U16" s="13" t="s">
        <v>151</v>
      </c>
      <c r="V16" s="13" t="str">
        <f>HYPERLINK("https://diamdna.azureedge.net/imaged/ab-1/still.jpg ","Image")</f>
        <v>Image</v>
      </c>
      <c r="W16" s="13" t="str">
        <f>HYPERLINK("https://diamdna.azureedge.net/Vision360.html?d=ab-1&amp;sr=-30&amp;s=30 ","Video")</f>
        <v>Video</v>
      </c>
      <c r="X16" s="13" t="str">
        <f>HYPERLINK("https://diamdna.azureedge.net/imaged/ab-1/video.mp4 ","Download")</f>
        <v>Download</v>
      </c>
      <c r="Y16" s="13" t="s">
        <v>76</v>
      </c>
      <c r="Z16" s="13" t="str">
        <f>HYPERLINK("https://diamdna.azureedge.net/reports/651448812.pdf#zoom=150 ","651448812")</f>
        <v>651448812</v>
      </c>
      <c r="AA16" s="13" t="s">
        <v>43</v>
      </c>
      <c r="AB16" s="13">
        <v>5.0599999999999996</v>
      </c>
      <c r="AC16" s="14" t="s">
        <v>91</v>
      </c>
      <c r="AD16" s="13" t="s">
        <v>60</v>
      </c>
      <c r="AE16" s="13">
        <v>31500</v>
      </c>
      <c r="AF16" s="14">
        <v>159390</v>
      </c>
      <c r="AG16" s="14">
        <v>-60</v>
      </c>
      <c r="AH16" s="14">
        <v>12600</v>
      </c>
      <c r="AI16" s="14">
        <v>63756</v>
      </c>
      <c r="AJ16" s="14" t="s">
        <v>46</v>
      </c>
      <c r="AK16" s="13" t="s">
        <v>46</v>
      </c>
      <c r="AL16" s="13" t="s">
        <v>46</v>
      </c>
      <c r="AM16" s="13" t="s">
        <v>152</v>
      </c>
      <c r="AN16" s="13" t="s">
        <v>153</v>
      </c>
      <c r="AO16" s="13">
        <v>58</v>
      </c>
      <c r="AP16" s="14">
        <v>62.4</v>
      </c>
      <c r="AQ16" s="14" t="s">
        <v>80</v>
      </c>
      <c r="AR16" s="13">
        <v>35.299999999999997</v>
      </c>
      <c r="AS16" s="14">
        <v>15</v>
      </c>
      <c r="AT16" s="14">
        <v>41</v>
      </c>
      <c r="AU16" s="13" t="s">
        <v>151</v>
      </c>
      <c r="AV16" s="13" t="str">
        <f>HYPERLINK("https://diamdna.azureedge.net/imaged/ab-1/still.jpg ","Image")</f>
        <v>Image</v>
      </c>
      <c r="AW16" s="13" t="str">
        <f>HYPERLINK("https://diamdna.azureedge.net/Vision360.html?d=ab-1&amp;sr=-30&amp;s=30 ","Video")</f>
        <v>Video</v>
      </c>
      <c r="AX16" s="13" t="str">
        <f>HYPERLINK("https://diamdna.azureedge.net/imaged/ab-1/video.mp4 ","Download")</f>
        <v>Download</v>
      </c>
      <c r="AY16" s="13" t="s">
        <v>76</v>
      </c>
      <c r="AZ16" s="13" t="str">
        <f>HYPERLINK("https://diamdna.azureedge.net/reports/651448812.pdf#zoom=150 ","651448812")</f>
        <v>651448812</v>
      </c>
      <c r="BA16" s="13" t="s">
        <v>43</v>
      </c>
      <c r="BB16" s="13">
        <v>5.0599999999999996</v>
      </c>
      <c r="BC16" s="14" t="s">
        <v>91</v>
      </c>
      <c r="BD16" s="13" t="s">
        <v>60</v>
      </c>
      <c r="BE16" s="13">
        <v>31500</v>
      </c>
      <c r="BF16" s="14">
        <v>159390</v>
      </c>
      <c r="BG16" s="14">
        <v>-60</v>
      </c>
      <c r="BH16" s="14">
        <v>12600</v>
      </c>
      <c r="BI16" s="14">
        <v>63756</v>
      </c>
      <c r="BJ16" s="14" t="s">
        <v>46</v>
      </c>
      <c r="BK16" s="13" t="s">
        <v>46</v>
      </c>
      <c r="BL16" s="13" t="s">
        <v>46</v>
      </c>
      <c r="BM16" s="13" t="s">
        <v>152</v>
      </c>
      <c r="BN16" s="13" t="s">
        <v>153</v>
      </c>
      <c r="BO16" s="13">
        <v>58</v>
      </c>
      <c r="BP16" s="14">
        <v>62.4</v>
      </c>
      <c r="BQ16" s="14" t="s">
        <v>80</v>
      </c>
      <c r="BR16" s="13">
        <v>35.299999999999997</v>
      </c>
      <c r="BS16" s="14">
        <v>15</v>
      </c>
      <c r="BT16" s="14">
        <v>41</v>
      </c>
      <c r="BU16" s="14">
        <v>43.5</v>
      </c>
      <c r="BV16" s="14"/>
      <c r="BW16" s="13" t="s">
        <v>50</v>
      </c>
      <c r="BX16" s="13" t="s">
        <v>142</v>
      </c>
      <c r="BY16" s="13">
        <v>3.9</v>
      </c>
      <c r="BZ16" s="14">
        <v>1</v>
      </c>
      <c r="CA16" s="14" t="s">
        <v>154</v>
      </c>
      <c r="CB16" s="13" t="s">
        <v>53</v>
      </c>
      <c r="CC16" s="13" t="s">
        <v>155</v>
      </c>
      <c r="CD16" s="13" t="s">
        <v>54</v>
      </c>
      <c r="CE16" s="13" t="s">
        <v>83</v>
      </c>
      <c r="CF16" s="13" t="s">
        <v>56</v>
      </c>
      <c r="CG16" s="13" t="s">
        <v>57</v>
      </c>
      <c r="CH16" s="13" t="s">
        <v>156</v>
      </c>
    </row>
    <row r="17" spans="21:86" x14ac:dyDescent="0.3">
      <c r="U17" s="13" t="s">
        <v>157</v>
      </c>
      <c r="V17" s="13" t="str">
        <f>HYPERLINK("https://diamdna.azureedge.net/imaged/ma25-7/still.jpg ","Image")</f>
        <v>Image</v>
      </c>
      <c r="W17" s="13" t="str">
        <f>HYPERLINK("https://diamdna.azureedge.net/Vision360.html?d=ma25-7&amp;sr=-30&amp;s=30 ","Video")</f>
        <v>Video</v>
      </c>
      <c r="X17" s="13" t="str">
        <f>HYPERLINK("https://diamdna.azureedge.net/imaged/ma25-7/video.mp4 ","Download")</f>
        <v>Download</v>
      </c>
      <c r="Y17" s="13" t="s">
        <v>76</v>
      </c>
      <c r="Z17" s="13" t="str">
        <f>HYPERLINK("https://diamdna.azureedge.net/reports/771619752.pdf#zoom=150 ","771619752")</f>
        <v>771619752</v>
      </c>
      <c r="AA17" s="13" t="s">
        <v>43</v>
      </c>
      <c r="AB17" s="13">
        <v>5.03</v>
      </c>
      <c r="AC17" s="14" t="s">
        <v>44</v>
      </c>
      <c r="AD17" s="13" t="s">
        <v>104</v>
      </c>
      <c r="AE17" s="13">
        <v>22000</v>
      </c>
      <c r="AF17" s="14">
        <v>110660</v>
      </c>
      <c r="AG17" s="14">
        <v>-64.5</v>
      </c>
      <c r="AH17" s="14">
        <v>7810</v>
      </c>
      <c r="AI17" s="14">
        <v>39284.300000000003</v>
      </c>
      <c r="AJ17" s="14" t="s">
        <v>46</v>
      </c>
      <c r="AK17" s="13" t="s">
        <v>46</v>
      </c>
      <c r="AL17" s="13" t="s">
        <v>46</v>
      </c>
      <c r="AM17" s="13" t="s">
        <v>152</v>
      </c>
      <c r="AN17" s="13" t="s">
        <v>158</v>
      </c>
      <c r="AO17" s="13">
        <v>58</v>
      </c>
      <c r="AP17" s="14">
        <v>62.8</v>
      </c>
      <c r="AQ17" s="14" t="s">
        <v>80</v>
      </c>
      <c r="AR17" s="13">
        <v>36.1</v>
      </c>
      <c r="AS17" s="14">
        <v>15.5</v>
      </c>
      <c r="AT17" s="14">
        <v>41.2</v>
      </c>
      <c r="AU17" s="13" t="s">
        <v>157</v>
      </c>
      <c r="AV17" s="13" t="str">
        <f>HYPERLINK("https://diamdna.azureedge.net/imaged/ma25-7/still.jpg ","Image")</f>
        <v>Image</v>
      </c>
      <c r="AW17" s="13" t="str">
        <f>HYPERLINK("https://diamdna.azureedge.net/Vision360.html?d=ma25-7&amp;sr=-30&amp;s=30 ","Video")</f>
        <v>Video</v>
      </c>
      <c r="AX17" s="13" t="str">
        <f>HYPERLINK("https://diamdna.azureedge.net/imaged/ma25-7/video.mp4 ","Download")</f>
        <v>Download</v>
      </c>
      <c r="AY17" s="13" t="s">
        <v>76</v>
      </c>
      <c r="AZ17" s="13" t="str">
        <f>HYPERLINK("https://diamdna.azureedge.net/reports/771619752.pdf#zoom=150 ","771619752")</f>
        <v>771619752</v>
      </c>
      <c r="BA17" s="13" t="s">
        <v>43</v>
      </c>
      <c r="BB17" s="13">
        <v>5.03</v>
      </c>
      <c r="BC17" s="14" t="s">
        <v>44</v>
      </c>
      <c r="BD17" s="13" t="s">
        <v>104</v>
      </c>
      <c r="BE17" s="13">
        <v>22000</v>
      </c>
      <c r="BF17" s="14">
        <v>110660</v>
      </c>
      <c r="BG17" s="14">
        <v>-64.5</v>
      </c>
      <c r="BH17" s="14">
        <v>7810</v>
      </c>
      <c r="BI17" s="14">
        <v>39284.300000000003</v>
      </c>
      <c r="BJ17" s="14" t="s">
        <v>46</v>
      </c>
      <c r="BK17" s="13" t="s">
        <v>46</v>
      </c>
      <c r="BL17" s="13" t="s">
        <v>46</v>
      </c>
      <c r="BM17" s="13" t="s">
        <v>152</v>
      </c>
      <c r="BN17" s="13" t="s">
        <v>158</v>
      </c>
      <c r="BO17" s="13">
        <v>58</v>
      </c>
      <c r="BP17" s="14">
        <v>62.8</v>
      </c>
      <c r="BQ17" s="14" t="s">
        <v>80</v>
      </c>
      <c r="BR17" s="13">
        <v>36.1</v>
      </c>
      <c r="BS17" s="14">
        <v>15.5</v>
      </c>
      <c r="BT17" s="14">
        <v>41.2</v>
      </c>
      <c r="BU17" s="14">
        <v>44</v>
      </c>
      <c r="BV17" s="14"/>
      <c r="BW17" s="13" t="s">
        <v>50</v>
      </c>
      <c r="BX17" s="13" t="s">
        <v>51</v>
      </c>
      <c r="BY17" s="13">
        <v>3.6</v>
      </c>
      <c r="BZ17" s="14">
        <v>1.01</v>
      </c>
      <c r="CA17" s="14" t="s">
        <v>99</v>
      </c>
      <c r="CB17" s="13" t="s">
        <v>54</v>
      </c>
      <c r="CC17" s="13" t="s">
        <v>82</v>
      </c>
      <c r="CD17" s="13" t="s">
        <v>54</v>
      </c>
      <c r="CE17" s="13" t="s">
        <v>55</v>
      </c>
      <c r="CF17" s="13" t="s">
        <v>56</v>
      </c>
      <c r="CG17" s="13" t="s">
        <v>130</v>
      </c>
      <c r="CH17" s="13" t="s">
        <v>89</v>
      </c>
    </row>
    <row r="18" spans="21:86" x14ac:dyDescent="0.3">
      <c r="U18" s="13" t="s">
        <v>159</v>
      </c>
      <c r="V18" s="17" t="str">
        <f>HYPERLINK("https://diamdna.azureedge.net/imaged/mj26-1/still.jpg ","Image")</f>
        <v>Image</v>
      </c>
      <c r="W18" s="17" t="str">
        <f>HYPERLINK("https://diamdna.azureedge.net/Vision360.html?d=mj26-1&amp;sr=-30&amp;s=30 ","Video")</f>
        <v>Video</v>
      </c>
      <c r="X18" s="17" t="str">
        <f>HYPERLINK("https://diamdna.azureedge.net/imaged/mj26-1/video.mp4 ","Download")</f>
        <v>Download</v>
      </c>
      <c r="Y18" s="13" t="s">
        <v>76</v>
      </c>
      <c r="Z18" s="13" t="str">
        <f>HYPERLINK("https://diamdna.azureedge.net/reports/769623495.pdf#zoom=150 ","769623495")</f>
        <v>769623495</v>
      </c>
      <c r="AA18" s="13" t="s">
        <v>113</v>
      </c>
      <c r="AB18" s="13">
        <v>5.03</v>
      </c>
      <c r="AC18" s="14" t="s">
        <v>160</v>
      </c>
      <c r="AD18" s="13" t="s">
        <v>147</v>
      </c>
      <c r="AE18" s="13">
        <v>11000</v>
      </c>
      <c r="AF18" s="14">
        <v>55330</v>
      </c>
      <c r="AG18" s="14">
        <v>-44.5</v>
      </c>
      <c r="AH18" s="14">
        <v>6105</v>
      </c>
      <c r="AI18" s="14">
        <v>30708.15</v>
      </c>
      <c r="AJ18" s="14" t="s">
        <v>50</v>
      </c>
      <c r="AK18" s="13" t="s">
        <v>46</v>
      </c>
      <c r="AL18" s="13" t="s">
        <v>46</v>
      </c>
      <c r="AM18" s="13" t="s">
        <v>152</v>
      </c>
      <c r="AN18" s="13" t="s">
        <v>161</v>
      </c>
      <c r="AO18" s="13">
        <v>62</v>
      </c>
      <c r="AP18" s="14">
        <v>62.4</v>
      </c>
      <c r="AQ18" s="14" t="s">
        <v>80</v>
      </c>
      <c r="AR18" s="13">
        <v>38.299999999999997</v>
      </c>
      <c r="AS18" s="14">
        <v>15</v>
      </c>
      <c r="AT18" s="14">
        <v>37.4</v>
      </c>
      <c r="AU18" s="13" t="s">
        <v>159</v>
      </c>
      <c r="AV18" s="17" t="str">
        <f>HYPERLINK("https://diamdna.azureedge.net/imaged/mj26-1/still.jpg ","Image")</f>
        <v>Image</v>
      </c>
      <c r="AW18" s="17" t="str">
        <f>HYPERLINK("https://diamdna.azureedge.net/Vision360.html?d=mj26-1&amp;sr=-30&amp;s=30 ","Video")</f>
        <v>Video</v>
      </c>
      <c r="AX18" s="17" t="str">
        <f>HYPERLINK("https://diamdna.azureedge.net/imaged/mj26-1/video.mp4 ","Download")</f>
        <v>Download</v>
      </c>
      <c r="AY18" s="13" t="s">
        <v>76</v>
      </c>
      <c r="AZ18" s="13" t="str">
        <f>HYPERLINK("https://diamdna.azureedge.net/reports/769623495.pdf#zoom=150 ","769623495")</f>
        <v>769623495</v>
      </c>
      <c r="BA18" s="13" t="s">
        <v>113</v>
      </c>
      <c r="BB18" s="13">
        <v>5.03</v>
      </c>
      <c r="BC18" s="14" t="s">
        <v>160</v>
      </c>
      <c r="BD18" s="13" t="s">
        <v>147</v>
      </c>
      <c r="BE18" s="13">
        <v>11000</v>
      </c>
      <c r="BF18" s="14">
        <v>55330</v>
      </c>
      <c r="BG18" s="14">
        <v>-44.5</v>
      </c>
      <c r="BH18" s="14">
        <v>6105</v>
      </c>
      <c r="BI18" s="14">
        <v>30708.15</v>
      </c>
      <c r="BJ18" s="14" t="s">
        <v>50</v>
      </c>
      <c r="BK18" s="13" t="s">
        <v>46</v>
      </c>
      <c r="BL18" s="13" t="s">
        <v>46</v>
      </c>
      <c r="BM18" s="13" t="s">
        <v>152</v>
      </c>
      <c r="BN18" s="13" t="s">
        <v>161</v>
      </c>
      <c r="BO18" s="13">
        <v>62</v>
      </c>
      <c r="BP18" s="14">
        <v>62.4</v>
      </c>
      <c r="BQ18" s="14" t="s">
        <v>80</v>
      </c>
      <c r="BR18" s="13">
        <v>38.299999999999997</v>
      </c>
      <c r="BS18" s="14">
        <v>15</v>
      </c>
      <c r="BT18" s="14">
        <v>37.4</v>
      </c>
      <c r="BU18" s="14">
        <v>42.5</v>
      </c>
      <c r="BV18" s="14"/>
      <c r="BW18" s="13" t="s">
        <v>50</v>
      </c>
      <c r="BX18" s="13" t="s">
        <v>51</v>
      </c>
      <c r="BY18" s="13">
        <v>4.5999999999999996</v>
      </c>
      <c r="BZ18" s="14">
        <v>1.5</v>
      </c>
      <c r="CA18" s="14" t="s">
        <v>52</v>
      </c>
      <c r="CB18" s="13" t="s">
        <v>54</v>
      </c>
      <c r="CC18" s="13" t="s">
        <v>82</v>
      </c>
      <c r="CD18" s="13" t="s">
        <v>54</v>
      </c>
      <c r="CE18" s="13" t="s">
        <v>143</v>
      </c>
      <c r="CF18" s="13" t="s">
        <v>56</v>
      </c>
      <c r="CG18" s="13" t="s">
        <v>130</v>
      </c>
      <c r="CH18" s="13" t="s">
        <v>111</v>
      </c>
    </row>
    <row r="19" spans="21:86" x14ac:dyDescent="0.3">
      <c r="U19" s="13" t="s">
        <v>162</v>
      </c>
      <c r="V19" s="13" t="str">
        <f>HYPERLINK("https://diamdna.azureedge.net/imaged/ma25-4/still.jpg ","Image")</f>
        <v>Image</v>
      </c>
      <c r="W19" s="13" t="str">
        <f>HYPERLINK("https://diamdna.azureedge.net/Vision360.html?d=ma25-4&amp;sr=-30&amp;s=30 ","Video")</f>
        <v>Video</v>
      </c>
      <c r="X19" s="13" t="str">
        <f>HYPERLINK("https://diamdna.azureedge.net/imaged/ma25-4/video.mp4 ","Download")</f>
        <v>Download</v>
      </c>
      <c r="Y19" s="13" t="s">
        <v>163</v>
      </c>
      <c r="Z19" s="13" t="str">
        <f>HYPERLINK("https://diamdna.azureedge.net/reports/260000036213.pdf#zoom=150 ","260000036213")</f>
        <v>260000036213</v>
      </c>
      <c r="AA19" s="13" t="s">
        <v>43</v>
      </c>
      <c r="AB19" s="13">
        <v>5.0199999999999996</v>
      </c>
      <c r="AC19" s="14" t="s">
        <v>119</v>
      </c>
      <c r="AD19" s="13" t="s">
        <v>60</v>
      </c>
      <c r="AE19" s="13">
        <v>22500</v>
      </c>
      <c r="AF19" s="14">
        <v>112949.99999999999</v>
      </c>
      <c r="AG19" s="14">
        <v>-64</v>
      </c>
      <c r="AH19" s="14">
        <v>8100</v>
      </c>
      <c r="AI19" s="14">
        <v>40662</v>
      </c>
      <c r="AJ19" s="14" t="s">
        <v>46</v>
      </c>
      <c r="AK19" s="13" t="s">
        <v>46</v>
      </c>
      <c r="AL19" s="13" t="s">
        <v>46</v>
      </c>
      <c r="AM19" s="13" t="s">
        <v>47</v>
      </c>
      <c r="AN19" s="13" t="s">
        <v>164</v>
      </c>
      <c r="AO19" s="13">
        <v>57</v>
      </c>
      <c r="AP19" s="14">
        <v>62.6</v>
      </c>
      <c r="AQ19" s="14" t="s">
        <v>165</v>
      </c>
      <c r="AR19" s="13">
        <v>35.200000000000003</v>
      </c>
      <c r="AS19" s="14">
        <v>15</v>
      </c>
      <c r="AT19" s="14">
        <v>41.1</v>
      </c>
      <c r="AU19" s="13" t="s">
        <v>162</v>
      </c>
      <c r="AV19" s="13" t="str">
        <f>HYPERLINK("https://diamdna.azureedge.net/imaged/ma25-4/still.jpg ","Image")</f>
        <v>Image</v>
      </c>
      <c r="AW19" s="13" t="str">
        <f>HYPERLINK("https://diamdna.azureedge.net/Vision360.html?d=ma25-4&amp;sr=-30&amp;s=30 ","Video")</f>
        <v>Video</v>
      </c>
      <c r="AX19" s="13" t="str">
        <f>HYPERLINK("https://diamdna.azureedge.net/imaged/ma25-4/video.mp4 ","Download")</f>
        <v>Download</v>
      </c>
      <c r="AY19" s="13" t="s">
        <v>163</v>
      </c>
      <c r="AZ19" s="13" t="str">
        <f>HYPERLINK("https://diamdna.azureedge.net/reports/260000036213.pdf#zoom=150 ","260000036213")</f>
        <v>260000036213</v>
      </c>
      <c r="BA19" s="13" t="s">
        <v>43</v>
      </c>
      <c r="BB19" s="13">
        <v>5.0199999999999996</v>
      </c>
      <c r="BC19" s="14" t="s">
        <v>119</v>
      </c>
      <c r="BD19" s="13" t="s">
        <v>60</v>
      </c>
      <c r="BE19" s="13">
        <v>22500</v>
      </c>
      <c r="BF19" s="14">
        <v>112949.99999999999</v>
      </c>
      <c r="BG19" s="14">
        <v>-64</v>
      </c>
      <c r="BH19" s="14">
        <v>8100</v>
      </c>
      <c r="BI19" s="14">
        <v>40662</v>
      </c>
      <c r="BJ19" s="14" t="s">
        <v>46</v>
      </c>
      <c r="BK19" s="13" t="s">
        <v>46</v>
      </c>
      <c r="BL19" s="13" t="s">
        <v>46</v>
      </c>
      <c r="BM19" s="13" t="s">
        <v>47</v>
      </c>
      <c r="BN19" s="13" t="s">
        <v>164</v>
      </c>
      <c r="BO19" s="13">
        <v>57</v>
      </c>
      <c r="BP19" s="14">
        <v>62.6</v>
      </c>
      <c r="BQ19" s="14" t="s">
        <v>165</v>
      </c>
      <c r="BR19" s="13">
        <v>35.200000000000003</v>
      </c>
      <c r="BS19" s="14">
        <v>15</v>
      </c>
      <c r="BT19" s="14">
        <v>41.1</v>
      </c>
      <c r="BU19" s="14">
        <v>43.5</v>
      </c>
      <c r="BV19" s="14"/>
      <c r="BW19" s="13" t="s">
        <v>50</v>
      </c>
      <c r="BX19" s="13" t="s">
        <v>142</v>
      </c>
      <c r="BY19" s="13">
        <v>4</v>
      </c>
      <c r="BZ19" s="14">
        <v>1.01</v>
      </c>
      <c r="CA19" s="14" t="s">
        <v>108</v>
      </c>
      <c r="CB19" s="13" t="s">
        <v>53</v>
      </c>
      <c r="CC19" s="13"/>
      <c r="CD19" s="13" t="s">
        <v>54</v>
      </c>
      <c r="CE19" s="13" t="s">
        <v>55</v>
      </c>
      <c r="CF19" s="13" t="s">
        <v>56</v>
      </c>
      <c r="CG19" s="13" t="s">
        <v>166</v>
      </c>
      <c r="CH19" s="13" t="s">
        <v>167</v>
      </c>
    </row>
    <row r="20" spans="21:86" x14ac:dyDescent="0.3">
      <c r="U20" s="13" t="s">
        <v>168</v>
      </c>
      <c r="V20" s="13" t="str">
        <f>HYPERLINK("https://diamdna.azureedge.net/imaged/uk-3/still.jpg ","Image")</f>
        <v>Image</v>
      </c>
      <c r="W20" s="13" t="str">
        <f>HYPERLINK("https://diamdna.azureedge.net/Vision360.html?d=uk-3&amp;sr=-30&amp;s=30 ","Video")</f>
        <v>Video</v>
      </c>
      <c r="X20" s="13" t="str">
        <f>HYPERLINK("https://diamdna.azureedge.net/imaged/uk-3/video.mp4 ","Download")</f>
        <v>Download</v>
      </c>
      <c r="Y20" s="13" t="s">
        <v>42</v>
      </c>
      <c r="Z20" s="13" t="str">
        <f>HYPERLINK("https://diamdna.azureedge.net/reports/2231116559.pdf#zoom=150 ","2231116559")</f>
        <v>2231116559</v>
      </c>
      <c r="AA20" s="13" t="s">
        <v>146</v>
      </c>
      <c r="AB20" s="13">
        <v>5.0199999999999996</v>
      </c>
      <c r="AC20" s="14" t="s">
        <v>96</v>
      </c>
      <c r="AD20" s="13" t="s">
        <v>78</v>
      </c>
      <c r="AE20" s="13">
        <v>45500</v>
      </c>
      <c r="AF20" s="14">
        <v>228409.99999999997</v>
      </c>
      <c r="AG20" s="14">
        <v>-44.5</v>
      </c>
      <c r="AH20" s="14">
        <v>25252.5</v>
      </c>
      <c r="AI20" s="14">
        <v>126767.55</v>
      </c>
      <c r="AJ20" s="14" t="s">
        <v>50</v>
      </c>
      <c r="AK20" s="13" t="s">
        <v>46</v>
      </c>
      <c r="AL20" s="13" t="s">
        <v>46</v>
      </c>
      <c r="AM20" s="13" t="s">
        <v>49</v>
      </c>
      <c r="AN20" s="13" t="s">
        <v>169</v>
      </c>
      <c r="AO20" s="13">
        <v>61</v>
      </c>
      <c r="AP20" s="14">
        <v>63.9</v>
      </c>
      <c r="AQ20" s="14" t="s">
        <v>49</v>
      </c>
      <c r="AR20" s="13">
        <v>39.4</v>
      </c>
      <c r="AS20" s="14">
        <v>0</v>
      </c>
      <c r="AT20" s="14">
        <v>0</v>
      </c>
      <c r="AU20" s="13" t="s">
        <v>168</v>
      </c>
      <c r="AV20" s="13" t="str">
        <f>HYPERLINK("https://diamdna.azureedge.net/imaged/uk-3/still.jpg ","Image")</f>
        <v>Image</v>
      </c>
      <c r="AW20" s="13" t="str">
        <f>HYPERLINK("https://diamdna.azureedge.net/Vision360.html?d=uk-3&amp;sr=-30&amp;s=30 ","Video")</f>
        <v>Video</v>
      </c>
      <c r="AX20" s="13" t="str">
        <f>HYPERLINK("https://diamdna.azureedge.net/imaged/uk-3/video.mp4 ","Download")</f>
        <v>Download</v>
      </c>
      <c r="AY20" s="13" t="s">
        <v>42</v>
      </c>
      <c r="AZ20" s="13" t="str">
        <f>HYPERLINK("https://diamdna.azureedge.net/reports/2231116559.pdf#zoom=150 ","2231116559")</f>
        <v>2231116559</v>
      </c>
      <c r="BA20" s="13" t="s">
        <v>146</v>
      </c>
      <c r="BB20" s="13">
        <v>5.0199999999999996</v>
      </c>
      <c r="BC20" s="14" t="s">
        <v>96</v>
      </c>
      <c r="BD20" s="13" t="s">
        <v>78</v>
      </c>
      <c r="BE20" s="13">
        <v>45500</v>
      </c>
      <c r="BF20" s="14">
        <v>228409.99999999997</v>
      </c>
      <c r="BG20" s="14">
        <v>-44.5</v>
      </c>
      <c r="BH20" s="14">
        <v>25252.5</v>
      </c>
      <c r="BI20" s="14">
        <v>126767.55</v>
      </c>
      <c r="BJ20" s="14" t="s">
        <v>50</v>
      </c>
      <c r="BK20" s="13" t="s">
        <v>46</v>
      </c>
      <c r="BL20" s="13" t="s">
        <v>46</v>
      </c>
      <c r="BM20" s="13" t="s">
        <v>49</v>
      </c>
      <c r="BN20" s="13" t="s">
        <v>169</v>
      </c>
      <c r="BO20" s="13">
        <v>61</v>
      </c>
      <c r="BP20" s="14">
        <v>63.9</v>
      </c>
      <c r="BQ20" s="14" t="s">
        <v>49</v>
      </c>
      <c r="BR20" s="13">
        <v>39.4</v>
      </c>
      <c r="BS20" s="14">
        <v>0</v>
      </c>
      <c r="BT20" s="14">
        <v>0</v>
      </c>
      <c r="BU20" s="14">
        <v>0</v>
      </c>
      <c r="BV20" s="14" t="s">
        <v>170</v>
      </c>
      <c r="BW20" s="13" t="s">
        <v>50</v>
      </c>
      <c r="BX20" s="13" t="s">
        <v>72</v>
      </c>
      <c r="BY20" s="13">
        <v>3.6</v>
      </c>
      <c r="BZ20" s="14">
        <v>1.53</v>
      </c>
      <c r="CA20" s="14" t="s">
        <v>108</v>
      </c>
      <c r="CB20" s="13" t="s">
        <v>54</v>
      </c>
      <c r="CC20" s="13" t="s">
        <v>171</v>
      </c>
      <c r="CD20" s="13" t="s">
        <v>54</v>
      </c>
      <c r="CE20" s="13" t="s">
        <v>93</v>
      </c>
      <c r="CF20" s="13" t="s">
        <v>56</v>
      </c>
      <c r="CG20" s="13" t="s">
        <v>57</v>
      </c>
      <c r="CH20" s="13" t="s">
        <v>116</v>
      </c>
    </row>
    <row r="21" spans="21:86" x14ac:dyDescent="0.3">
      <c r="U21" s="13" t="s">
        <v>172</v>
      </c>
      <c r="V21" s="13" t="str">
        <f>HYPERLINK("https://diamdna.azureedge.net/imaged/hr-2/still.jpg ","Image")</f>
        <v>Image</v>
      </c>
      <c r="W21" s="13" t="str">
        <f>HYPERLINK("https://diamdna.azureedge.net/Vision360.html?d=hr-2&amp;sr=-30&amp;s=30 ","Video")</f>
        <v>Video</v>
      </c>
      <c r="X21" s="13" t="str">
        <f>HYPERLINK("https://diamdna.azureedge.net/imaged/hr-2/video.mp4 ","Download")</f>
        <v>Download</v>
      </c>
      <c r="Y21" s="13" t="s">
        <v>42</v>
      </c>
      <c r="Z21" s="13" t="str">
        <f>HYPERLINK("https://diamdna.azureedge.net/reports/2235649296.pdf#zoom=150 ","2235649296")</f>
        <v>2235649296</v>
      </c>
      <c r="AA21" s="13" t="s">
        <v>113</v>
      </c>
      <c r="AB21" s="13">
        <v>5.0199999999999996</v>
      </c>
      <c r="AC21" s="14" t="s">
        <v>91</v>
      </c>
      <c r="AD21" s="13" t="s">
        <v>133</v>
      </c>
      <c r="AE21" s="13">
        <v>37500</v>
      </c>
      <c r="AF21" s="14">
        <v>188249.99999999997</v>
      </c>
      <c r="AG21" s="14">
        <v>-42</v>
      </c>
      <c r="AH21" s="14">
        <v>21750</v>
      </c>
      <c r="AI21" s="14">
        <v>109185</v>
      </c>
      <c r="AJ21" s="14" t="s">
        <v>50</v>
      </c>
      <c r="AK21" s="13" t="s">
        <v>46</v>
      </c>
      <c r="AL21" s="13" t="s">
        <v>46</v>
      </c>
      <c r="AM21" s="13" t="s">
        <v>47</v>
      </c>
      <c r="AN21" s="13" t="s">
        <v>173</v>
      </c>
      <c r="AO21" s="13">
        <v>60</v>
      </c>
      <c r="AP21" s="14">
        <v>63.4</v>
      </c>
      <c r="AQ21" s="14" t="s">
        <v>49</v>
      </c>
      <c r="AR21" s="13">
        <v>0</v>
      </c>
      <c r="AS21" s="14">
        <v>0</v>
      </c>
      <c r="AT21" s="14">
        <v>0</v>
      </c>
      <c r="AU21" s="13" t="s">
        <v>172</v>
      </c>
      <c r="AV21" s="13" t="str">
        <f>HYPERLINK("https://diamdna.azureedge.net/imaged/hr-2/still.jpg ","Image")</f>
        <v>Image</v>
      </c>
      <c r="AW21" s="13" t="str">
        <f>HYPERLINK("https://diamdna.azureedge.net/Vision360.html?d=hr-2&amp;sr=-30&amp;s=30 ","Video")</f>
        <v>Video</v>
      </c>
      <c r="AX21" s="13" t="str">
        <f>HYPERLINK("https://diamdna.azureedge.net/imaged/hr-2/video.mp4 ","Download")</f>
        <v>Download</v>
      </c>
      <c r="AY21" s="13" t="s">
        <v>42</v>
      </c>
      <c r="AZ21" s="13" t="str">
        <f>HYPERLINK("https://diamdna.azureedge.net/reports/2235649296.pdf#zoom=150 ","2235649296")</f>
        <v>2235649296</v>
      </c>
      <c r="BA21" s="13" t="s">
        <v>113</v>
      </c>
      <c r="BB21" s="13">
        <v>5.0199999999999996</v>
      </c>
      <c r="BC21" s="14" t="s">
        <v>91</v>
      </c>
      <c r="BD21" s="13" t="s">
        <v>133</v>
      </c>
      <c r="BE21" s="13">
        <v>37500</v>
      </c>
      <c r="BF21" s="14">
        <v>188249.99999999997</v>
      </c>
      <c r="BG21" s="14">
        <v>-42</v>
      </c>
      <c r="BH21" s="14">
        <v>21750</v>
      </c>
      <c r="BI21" s="14">
        <v>109185</v>
      </c>
      <c r="BJ21" s="14" t="s">
        <v>50</v>
      </c>
      <c r="BK21" s="13" t="s">
        <v>46</v>
      </c>
      <c r="BL21" s="13" t="s">
        <v>46</v>
      </c>
      <c r="BM21" s="13" t="s">
        <v>47</v>
      </c>
      <c r="BN21" s="13" t="s">
        <v>173</v>
      </c>
      <c r="BO21" s="13">
        <v>60</v>
      </c>
      <c r="BP21" s="14">
        <v>63.4</v>
      </c>
      <c r="BQ21" s="14" t="s">
        <v>49</v>
      </c>
      <c r="BR21" s="13">
        <v>0</v>
      </c>
      <c r="BS21" s="14">
        <v>0</v>
      </c>
      <c r="BT21" s="14">
        <v>0</v>
      </c>
      <c r="BU21" s="14">
        <v>0</v>
      </c>
      <c r="BV21" s="14" t="s">
        <v>136</v>
      </c>
      <c r="BW21" s="13" t="s">
        <v>50</v>
      </c>
      <c r="BX21" s="13" t="s">
        <v>107</v>
      </c>
      <c r="BY21" s="13">
        <v>4.3499999999999996</v>
      </c>
      <c r="BZ21" s="14">
        <v>1.51</v>
      </c>
      <c r="CA21" s="14" t="s">
        <v>99</v>
      </c>
      <c r="CB21" s="13" t="s">
        <v>54</v>
      </c>
      <c r="CC21" s="13" t="s">
        <v>129</v>
      </c>
      <c r="CD21" s="13" t="s">
        <v>54</v>
      </c>
      <c r="CE21" s="13" t="s">
        <v>55</v>
      </c>
      <c r="CF21" s="13" t="s">
        <v>56</v>
      </c>
      <c r="CG21" s="13" t="s">
        <v>57</v>
      </c>
      <c r="CH21" s="13" t="s">
        <v>174</v>
      </c>
    </row>
    <row r="22" spans="21:86" x14ac:dyDescent="0.3">
      <c r="U22" s="13" t="s">
        <v>175</v>
      </c>
      <c r="V22" s="13" t="str">
        <f>HYPERLINK("https://diamdna.azureedge.net/imaged/xu-13/still.jpg ","Image")</f>
        <v>Image</v>
      </c>
      <c r="W22" s="13" t="str">
        <f>HYPERLINK("https://diamdna.azureedge.net/Vision360.html?d=xu-13&amp;sr=-30&amp;s=30 ","Video")</f>
        <v>Video</v>
      </c>
      <c r="X22" s="13" t="str">
        <f>HYPERLINK("https://diamdna.azureedge.net/imaged/xu-13/video.mp4 ","Download")</f>
        <v>Download</v>
      </c>
      <c r="Y22" s="13" t="s">
        <v>42</v>
      </c>
      <c r="Z22" s="13" t="str">
        <f>HYPERLINK("https://diamdna.azureedge.net/reports/5234379756.pdf#zoom=150 ","5234379756")</f>
        <v>5234379756</v>
      </c>
      <c r="AA22" s="13" t="s">
        <v>118</v>
      </c>
      <c r="AB22" s="13">
        <v>5.0199999999999996</v>
      </c>
      <c r="AC22" s="14" t="s">
        <v>91</v>
      </c>
      <c r="AD22" s="13" t="s">
        <v>45</v>
      </c>
      <c r="AE22" s="13">
        <v>75000</v>
      </c>
      <c r="AF22" s="14">
        <v>376499.99999999994</v>
      </c>
      <c r="AG22" s="14">
        <v>-50.5</v>
      </c>
      <c r="AH22" s="14">
        <v>37125</v>
      </c>
      <c r="AI22" s="14">
        <v>186367.5</v>
      </c>
      <c r="AJ22" s="14" t="s">
        <v>50</v>
      </c>
      <c r="AK22" s="13" t="s">
        <v>46</v>
      </c>
      <c r="AL22" s="13" t="s">
        <v>46</v>
      </c>
      <c r="AM22" s="13" t="s">
        <v>134</v>
      </c>
      <c r="AN22" s="13" t="s">
        <v>176</v>
      </c>
      <c r="AO22" s="13">
        <v>59</v>
      </c>
      <c r="AP22" s="14">
        <v>55</v>
      </c>
      <c r="AQ22" s="14" t="s">
        <v>49</v>
      </c>
      <c r="AR22" s="13">
        <v>0</v>
      </c>
      <c r="AS22" s="14">
        <v>0</v>
      </c>
      <c r="AT22" s="14">
        <v>0</v>
      </c>
      <c r="AU22" s="13" t="s">
        <v>175</v>
      </c>
      <c r="AV22" s="13" t="str">
        <f>HYPERLINK("https://diamdna.azureedge.net/imaged/xu-13/still.jpg ","Image")</f>
        <v>Image</v>
      </c>
      <c r="AW22" s="13" t="str">
        <f>HYPERLINK("https://diamdna.azureedge.net/Vision360.html?d=xu-13&amp;sr=-30&amp;s=30 ","Video")</f>
        <v>Video</v>
      </c>
      <c r="AX22" s="13" t="str">
        <f>HYPERLINK("https://diamdna.azureedge.net/imaged/xu-13/video.mp4 ","Download")</f>
        <v>Download</v>
      </c>
      <c r="AY22" s="13" t="s">
        <v>42</v>
      </c>
      <c r="AZ22" s="13" t="str">
        <f>HYPERLINK("https://diamdna.azureedge.net/reports/5234379756.pdf#zoom=150 ","5234379756")</f>
        <v>5234379756</v>
      </c>
      <c r="BA22" s="13" t="s">
        <v>118</v>
      </c>
      <c r="BB22" s="13">
        <v>5.0199999999999996</v>
      </c>
      <c r="BC22" s="14" t="s">
        <v>91</v>
      </c>
      <c r="BD22" s="13" t="s">
        <v>45</v>
      </c>
      <c r="BE22" s="13">
        <v>75000</v>
      </c>
      <c r="BF22" s="14">
        <v>376499.99999999994</v>
      </c>
      <c r="BG22" s="14">
        <v>-50.5</v>
      </c>
      <c r="BH22" s="14">
        <v>37125</v>
      </c>
      <c r="BI22" s="14">
        <v>186367.5</v>
      </c>
      <c r="BJ22" s="14" t="s">
        <v>50</v>
      </c>
      <c r="BK22" s="13" t="s">
        <v>46</v>
      </c>
      <c r="BL22" s="13" t="s">
        <v>46</v>
      </c>
      <c r="BM22" s="13" t="s">
        <v>134</v>
      </c>
      <c r="BN22" s="13" t="s">
        <v>176</v>
      </c>
      <c r="BO22" s="13">
        <v>59</v>
      </c>
      <c r="BP22" s="14">
        <v>55</v>
      </c>
      <c r="BQ22" s="14" t="s">
        <v>49</v>
      </c>
      <c r="BR22" s="13">
        <v>0</v>
      </c>
      <c r="BS22" s="14">
        <v>0</v>
      </c>
      <c r="BT22" s="14">
        <v>0</v>
      </c>
      <c r="BU22" s="14">
        <v>0</v>
      </c>
      <c r="BV22" s="14"/>
      <c r="BW22" s="13" t="s">
        <v>50</v>
      </c>
      <c r="BX22" s="13" t="s">
        <v>177</v>
      </c>
      <c r="BY22" s="13">
        <v>3.6</v>
      </c>
      <c r="BZ22" s="14">
        <v>0.91</v>
      </c>
      <c r="CA22" s="14" t="s">
        <v>52</v>
      </c>
      <c r="CB22" s="13" t="s">
        <v>54</v>
      </c>
      <c r="CC22" s="13"/>
      <c r="CD22" s="13" t="s">
        <v>54</v>
      </c>
      <c r="CE22" s="13" t="s">
        <v>178</v>
      </c>
      <c r="CF22" s="13" t="s">
        <v>56</v>
      </c>
      <c r="CG22" s="13" t="s">
        <v>57</v>
      </c>
      <c r="CH22" s="13" t="s">
        <v>179</v>
      </c>
    </row>
    <row r="23" spans="21:86" x14ac:dyDescent="0.3">
      <c r="U23" s="13" t="s">
        <v>180</v>
      </c>
      <c r="V23" s="13" t="str">
        <f>HYPERLINK("https://diamdna.azureedge.net/imaged/ma25-5/still.jpg ","Image")</f>
        <v>Image</v>
      </c>
      <c r="W23" s="13" t="str">
        <f>HYPERLINK("https://diamdna.azureedge.net/Vision360.html?d=ma25-5&amp;sr=-30&amp;s=30 ","Video")</f>
        <v>Video</v>
      </c>
      <c r="X23" s="13" t="str">
        <f>HYPERLINK("https://diamdna.azureedge.net/imaged/ma25-5/video.mp4 ","Download")</f>
        <v>Download</v>
      </c>
      <c r="Y23" s="13" t="s">
        <v>42</v>
      </c>
      <c r="Z23" s="13" t="str">
        <f>HYPERLINK("https://diamdna.azureedge.net/reports/6545553625.pdf#zoom=150 ","6545553625")</f>
        <v>6545553625</v>
      </c>
      <c r="AA23" s="13" t="s">
        <v>43</v>
      </c>
      <c r="AB23" s="13">
        <v>5</v>
      </c>
      <c r="AC23" s="14" t="s">
        <v>119</v>
      </c>
      <c r="AD23" s="13" t="s">
        <v>104</v>
      </c>
      <c r="AE23" s="13">
        <v>36000</v>
      </c>
      <c r="AF23" s="14">
        <v>180000</v>
      </c>
      <c r="AG23" s="14">
        <v>-48.5</v>
      </c>
      <c r="AH23" s="14">
        <v>18540</v>
      </c>
      <c r="AI23" s="14">
        <v>92700</v>
      </c>
      <c r="AJ23" s="14" t="s">
        <v>46</v>
      </c>
      <c r="AK23" s="13" t="s">
        <v>46</v>
      </c>
      <c r="AL23" s="13" t="s">
        <v>46</v>
      </c>
      <c r="AM23" s="13" t="s">
        <v>47</v>
      </c>
      <c r="AN23" s="13" t="s">
        <v>181</v>
      </c>
      <c r="AO23" s="13">
        <v>59</v>
      </c>
      <c r="AP23" s="14">
        <v>61.1</v>
      </c>
      <c r="AQ23" s="14" t="s">
        <v>49</v>
      </c>
      <c r="AR23" s="13">
        <v>34</v>
      </c>
      <c r="AS23" s="14">
        <v>13.5</v>
      </c>
      <c r="AT23" s="14">
        <v>41.2</v>
      </c>
      <c r="AU23" s="13" t="s">
        <v>180</v>
      </c>
      <c r="AV23" s="13" t="str">
        <f>HYPERLINK("https://diamdna.azureedge.net/imaged/ma25-5/still.jpg ","Image")</f>
        <v>Image</v>
      </c>
      <c r="AW23" s="13" t="str">
        <f>HYPERLINK("https://diamdna.azureedge.net/Vision360.html?d=ma25-5&amp;sr=-30&amp;s=30 ","Video")</f>
        <v>Video</v>
      </c>
      <c r="AX23" s="13" t="str">
        <f>HYPERLINK("https://diamdna.azureedge.net/imaged/ma25-5/video.mp4 ","Download")</f>
        <v>Download</v>
      </c>
      <c r="AY23" s="13" t="s">
        <v>42</v>
      </c>
      <c r="AZ23" s="13" t="str">
        <f>HYPERLINK("https://diamdna.azureedge.net/reports/6545553625.pdf#zoom=150 ","6545553625")</f>
        <v>6545553625</v>
      </c>
      <c r="BA23" s="13" t="s">
        <v>43</v>
      </c>
      <c r="BB23" s="13">
        <v>5</v>
      </c>
      <c r="BC23" s="14" t="s">
        <v>119</v>
      </c>
      <c r="BD23" s="13" t="s">
        <v>104</v>
      </c>
      <c r="BE23" s="13">
        <v>36000</v>
      </c>
      <c r="BF23" s="14">
        <v>180000</v>
      </c>
      <c r="BG23" s="14">
        <v>-48.5</v>
      </c>
      <c r="BH23" s="14">
        <v>18540</v>
      </c>
      <c r="BI23" s="14">
        <v>92700</v>
      </c>
      <c r="BJ23" s="14" t="s">
        <v>46</v>
      </c>
      <c r="BK23" s="13" t="s">
        <v>46</v>
      </c>
      <c r="BL23" s="13" t="s">
        <v>46</v>
      </c>
      <c r="BM23" s="13" t="s">
        <v>47</v>
      </c>
      <c r="BN23" s="13" t="s">
        <v>181</v>
      </c>
      <c r="BO23" s="13">
        <v>59</v>
      </c>
      <c r="BP23" s="14">
        <v>61.1</v>
      </c>
      <c r="BQ23" s="14" t="s">
        <v>49</v>
      </c>
      <c r="BR23" s="13">
        <v>34</v>
      </c>
      <c r="BS23" s="14">
        <v>13.5</v>
      </c>
      <c r="BT23" s="14">
        <v>41.2</v>
      </c>
      <c r="BU23" s="14">
        <v>43.5</v>
      </c>
      <c r="BV23" s="14" t="s">
        <v>182</v>
      </c>
      <c r="BW23" s="13" t="s">
        <v>50</v>
      </c>
      <c r="BX23" s="13" t="s">
        <v>51</v>
      </c>
      <c r="BY23" s="13">
        <v>3.5</v>
      </c>
      <c r="BZ23" s="14">
        <v>1</v>
      </c>
      <c r="CA23" s="14" t="s">
        <v>52</v>
      </c>
      <c r="CB23" s="13" t="s">
        <v>53</v>
      </c>
      <c r="CC23" s="13" t="s">
        <v>129</v>
      </c>
      <c r="CD23" s="13" t="s">
        <v>54</v>
      </c>
      <c r="CE23" s="13" t="s">
        <v>55</v>
      </c>
      <c r="CF23" s="13" t="s">
        <v>56</v>
      </c>
      <c r="CG23" s="13" t="s">
        <v>57</v>
      </c>
      <c r="CH23" s="13" t="s">
        <v>89</v>
      </c>
    </row>
    <row r="24" spans="21:86" x14ac:dyDescent="0.3">
      <c r="U24" s="13" t="s">
        <v>183</v>
      </c>
      <c r="V24" s="13" t="str">
        <f>HYPERLINK("https://diamdna.azureedge.net/imaged/ei-6/still.jpg ","Image")</f>
        <v>Image</v>
      </c>
      <c r="W24" s="13" t="str">
        <f>HYPERLINK("https://diamdna.azureedge.net/Vision360.html?d=ei-6&amp;sr=-30&amp;s=30 ","Video")</f>
        <v>Video</v>
      </c>
      <c r="X24" s="13" t="str">
        <f>HYPERLINK("https://diamdna.azureedge.net/imaged/ei-6/video.mp4 ","Download")</f>
        <v>Download</v>
      </c>
      <c r="Y24" s="13" t="s">
        <v>42</v>
      </c>
      <c r="Z24" s="13" t="str">
        <f>HYPERLINK("https://diamdna.azureedge.net/reports/2233531160.pdf#zoom=150 ","2233531160")</f>
        <v>2233531160</v>
      </c>
      <c r="AA24" s="13" t="s">
        <v>113</v>
      </c>
      <c r="AB24" s="13">
        <v>4.16</v>
      </c>
      <c r="AC24" s="14" t="s">
        <v>44</v>
      </c>
      <c r="AD24" s="13" t="s">
        <v>147</v>
      </c>
      <c r="AE24" s="13">
        <v>18500</v>
      </c>
      <c r="AF24" s="14">
        <v>76960</v>
      </c>
      <c r="AG24" s="14">
        <v>-55</v>
      </c>
      <c r="AH24" s="14">
        <v>8325</v>
      </c>
      <c r="AI24" s="14">
        <v>34632</v>
      </c>
      <c r="AJ24" s="14" t="s">
        <v>50</v>
      </c>
      <c r="AK24" s="13" t="s">
        <v>46</v>
      </c>
      <c r="AL24" s="13" t="s">
        <v>46</v>
      </c>
      <c r="AM24" s="13" t="s">
        <v>184</v>
      </c>
      <c r="AN24" s="13" t="s">
        <v>185</v>
      </c>
      <c r="AO24" s="13">
        <v>59</v>
      </c>
      <c r="AP24" s="14">
        <v>62.6</v>
      </c>
      <c r="AQ24" s="14" t="s">
        <v>49</v>
      </c>
      <c r="AR24" s="13">
        <v>0</v>
      </c>
      <c r="AS24" s="14">
        <v>0</v>
      </c>
      <c r="AT24" s="14">
        <v>0</v>
      </c>
      <c r="AU24" s="13" t="s">
        <v>183</v>
      </c>
      <c r="AV24" s="13" t="str">
        <f>HYPERLINK("https://diamdna.azureedge.net/imaged/ei-6/still.jpg ","Image")</f>
        <v>Image</v>
      </c>
      <c r="AW24" s="13" t="str">
        <f>HYPERLINK("https://diamdna.azureedge.net/Vision360.html?d=ei-6&amp;sr=-30&amp;s=30 ","Video")</f>
        <v>Video</v>
      </c>
      <c r="AX24" s="13" t="str">
        <f>HYPERLINK("https://diamdna.azureedge.net/imaged/ei-6/video.mp4 ","Download")</f>
        <v>Download</v>
      </c>
      <c r="AY24" s="13" t="s">
        <v>42</v>
      </c>
      <c r="AZ24" s="13" t="str">
        <f>HYPERLINK("https://diamdna.azureedge.net/reports/2233531160.pdf#zoom=150 ","2233531160")</f>
        <v>2233531160</v>
      </c>
      <c r="BA24" s="13" t="s">
        <v>113</v>
      </c>
      <c r="BB24" s="13">
        <v>4.16</v>
      </c>
      <c r="BC24" s="14" t="s">
        <v>44</v>
      </c>
      <c r="BD24" s="13" t="s">
        <v>147</v>
      </c>
      <c r="BE24" s="13">
        <v>18500</v>
      </c>
      <c r="BF24" s="14">
        <v>76960</v>
      </c>
      <c r="BG24" s="14">
        <v>-55</v>
      </c>
      <c r="BH24" s="14">
        <v>8325</v>
      </c>
      <c r="BI24" s="14">
        <v>34632</v>
      </c>
      <c r="BJ24" s="14" t="s">
        <v>50</v>
      </c>
      <c r="BK24" s="13" t="s">
        <v>46</v>
      </c>
      <c r="BL24" s="13" t="s">
        <v>46</v>
      </c>
      <c r="BM24" s="13" t="s">
        <v>184</v>
      </c>
      <c r="BN24" s="13" t="s">
        <v>185</v>
      </c>
      <c r="BO24" s="13">
        <v>59</v>
      </c>
      <c r="BP24" s="14">
        <v>62.6</v>
      </c>
      <c r="BQ24" s="14" t="s">
        <v>49</v>
      </c>
      <c r="BR24" s="13">
        <v>0</v>
      </c>
      <c r="BS24" s="14">
        <v>0</v>
      </c>
      <c r="BT24" s="14">
        <v>0</v>
      </c>
      <c r="BU24" s="14">
        <v>0</v>
      </c>
      <c r="BV24" s="14" t="s">
        <v>186</v>
      </c>
      <c r="BW24" s="13" t="s">
        <v>50</v>
      </c>
      <c r="BX24" s="13" t="s">
        <v>177</v>
      </c>
      <c r="BY24" s="13">
        <v>3.6</v>
      </c>
      <c r="BZ24" s="14">
        <v>1.58</v>
      </c>
      <c r="CA24" s="14" t="s">
        <v>52</v>
      </c>
      <c r="CB24" s="13" t="s">
        <v>54</v>
      </c>
      <c r="CC24" s="13" t="s">
        <v>187</v>
      </c>
      <c r="CD24" s="13" t="s">
        <v>54</v>
      </c>
      <c r="CE24" s="13" t="s">
        <v>143</v>
      </c>
      <c r="CF24" s="13" t="s">
        <v>56</v>
      </c>
      <c r="CG24" s="13" t="s">
        <v>57</v>
      </c>
      <c r="CH24" s="13" t="s">
        <v>188</v>
      </c>
    </row>
    <row r="25" spans="21:86" x14ac:dyDescent="0.3">
      <c r="U25" s="13" t="s">
        <v>189</v>
      </c>
      <c r="V25" s="13" t="str">
        <f>HYPERLINK("https://diamdna.azureedge.net/imaged/kj25-3/still.jpg ","Image")</f>
        <v>Image</v>
      </c>
      <c r="W25" s="13" t="str">
        <f>HYPERLINK("https://diamdna.azureedge.net/Vision360.html?d=kj25-3&amp;sr=-30&amp;s=30 ","Video")</f>
        <v>Video</v>
      </c>
      <c r="X25" s="13" t="str">
        <f>HYPERLINK("https://diamdna.azureedge.net/imaged/kj25-3/video.mp4 ","Download")</f>
        <v>Download</v>
      </c>
      <c r="Y25" s="13" t="s">
        <v>42</v>
      </c>
      <c r="Z25" s="13" t="str">
        <f>HYPERLINK("https://diamdna.azureedge.net/reports/2548216097.pdf#zoom=150 ","2548216097")</f>
        <v>2548216097</v>
      </c>
      <c r="AA25" s="13" t="s">
        <v>68</v>
      </c>
      <c r="AB25" s="13">
        <v>4.07</v>
      </c>
      <c r="AC25" s="14" t="s">
        <v>77</v>
      </c>
      <c r="AD25" s="13" t="s">
        <v>78</v>
      </c>
      <c r="AE25" s="13">
        <v>12300</v>
      </c>
      <c r="AF25" s="14">
        <v>50061</v>
      </c>
      <c r="AG25" s="14">
        <v>-42.5</v>
      </c>
      <c r="AH25" s="14">
        <v>7072.5</v>
      </c>
      <c r="AI25" s="14">
        <v>28785.08</v>
      </c>
      <c r="AJ25" s="14" t="s">
        <v>50</v>
      </c>
      <c r="AK25" s="13" t="s">
        <v>46</v>
      </c>
      <c r="AL25" s="13" t="s">
        <v>120</v>
      </c>
      <c r="AM25" s="13" t="s">
        <v>47</v>
      </c>
      <c r="AN25" s="13" t="s">
        <v>190</v>
      </c>
      <c r="AO25" s="13">
        <v>65</v>
      </c>
      <c r="AP25" s="14">
        <v>65.900000000000006</v>
      </c>
      <c r="AQ25" s="14" t="s">
        <v>49</v>
      </c>
      <c r="AR25" s="13">
        <v>0</v>
      </c>
      <c r="AS25" s="14">
        <v>0</v>
      </c>
      <c r="AT25" s="14">
        <v>0</v>
      </c>
      <c r="AU25" s="13" t="s">
        <v>189</v>
      </c>
      <c r="AV25" s="13" t="str">
        <f>HYPERLINK("https://diamdna.azureedge.net/imaged/kj25-3/still.jpg ","Image")</f>
        <v>Image</v>
      </c>
      <c r="AW25" s="13" t="str">
        <f>HYPERLINK("https://diamdna.azureedge.net/Vision360.html?d=kj25-3&amp;sr=-30&amp;s=30 ","Video")</f>
        <v>Video</v>
      </c>
      <c r="AX25" s="13" t="str">
        <f>HYPERLINK("https://diamdna.azureedge.net/imaged/kj25-3/video.mp4 ","Download")</f>
        <v>Download</v>
      </c>
      <c r="AY25" s="13" t="s">
        <v>42</v>
      </c>
      <c r="AZ25" s="13" t="str">
        <f>HYPERLINK("https://diamdna.azureedge.net/reports/2548216097.pdf#zoom=150 ","2548216097")</f>
        <v>2548216097</v>
      </c>
      <c r="BA25" s="13" t="s">
        <v>68</v>
      </c>
      <c r="BB25" s="13">
        <v>4.07</v>
      </c>
      <c r="BC25" s="14" t="s">
        <v>77</v>
      </c>
      <c r="BD25" s="13" t="s">
        <v>78</v>
      </c>
      <c r="BE25" s="13">
        <v>12300</v>
      </c>
      <c r="BF25" s="14">
        <v>50061</v>
      </c>
      <c r="BG25" s="14">
        <v>-42.5</v>
      </c>
      <c r="BH25" s="14">
        <v>7072.5</v>
      </c>
      <c r="BI25" s="14">
        <v>28785.08</v>
      </c>
      <c r="BJ25" s="14" t="s">
        <v>50</v>
      </c>
      <c r="BK25" s="13" t="s">
        <v>46</v>
      </c>
      <c r="BL25" s="13" t="s">
        <v>120</v>
      </c>
      <c r="BM25" s="13" t="s">
        <v>47</v>
      </c>
      <c r="BN25" s="13" t="s">
        <v>190</v>
      </c>
      <c r="BO25" s="13">
        <v>65</v>
      </c>
      <c r="BP25" s="14">
        <v>65.900000000000006</v>
      </c>
      <c r="BQ25" s="14" t="s">
        <v>49</v>
      </c>
      <c r="BR25" s="13">
        <v>0</v>
      </c>
      <c r="BS25" s="14">
        <v>0</v>
      </c>
      <c r="BT25" s="14">
        <v>0</v>
      </c>
      <c r="BU25" s="14">
        <v>0</v>
      </c>
      <c r="BV25" s="14" t="s">
        <v>98</v>
      </c>
      <c r="BW25" s="13" t="s">
        <v>50</v>
      </c>
      <c r="BX25" s="13" t="s">
        <v>72</v>
      </c>
      <c r="BY25" s="13">
        <v>3.6</v>
      </c>
      <c r="BZ25" s="14">
        <v>1.5</v>
      </c>
      <c r="CA25" s="14" t="s">
        <v>99</v>
      </c>
      <c r="CB25" s="13" t="s">
        <v>54</v>
      </c>
      <c r="CC25" s="13" t="s">
        <v>191</v>
      </c>
      <c r="CD25" s="13" t="s">
        <v>54</v>
      </c>
      <c r="CE25" s="13" t="s">
        <v>110</v>
      </c>
      <c r="CF25" s="13" t="s">
        <v>56</v>
      </c>
      <c r="CG25" s="13" t="s">
        <v>130</v>
      </c>
      <c r="CH25" s="13" t="s">
        <v>58</v>
      </c>
    </row>
    <row r="26" spans="21:86" x14ac:dyDescent="0.3">
      <c r="U26" s="13" t="s">
        <v>192</v>
      </c>
      <c r="V26" s="13" t="str">
        <f>HYPERLINK("https://diamdna.azureedge.net/imaged/zi-1896/still.jpg ","Image")</f>
        <v>Image</v>
      </c>
      <c r="W26" s="13" t="str">
        <f>HYPERLINK("https://diamdna.azureedge.net/Vision360.html?d=zi-1896&amp;sr=-30&amp;s=30 ","Video")</f>
        <v>Video</v>
      </c>
      <c r="X26" s="13" t="str">
        <f>HYPERLINK("https://diamdna.azureedge.net/imaged/zi-1896/video.mp4 ","Download")</f>
        <v>Download</v>
      </c>
      <c r="Y26" s="13" t="s">
        <v>42</v>
      </c>
      <c r="Z26" s="13" t="str">
        <f>HYPERLINK("https://diamdna.azureedge.net/reports/3545757657.pdf#zoom=150 ","3545757657")</f>
        <v>3545757657</v>
      </c>
      <c r="AA26" s="13" t="s">
        <v>193</v>
      </c>
      <c r="AB26" s="13">
        <v>4.01</v>
      </c>
      <c r="AC26" s="15" t="s">
        <v>194</v>
      </c>
      <c r="AD26" s="13" t="s">
        <v>78</v>
      </c>
      <c r="AE26" s="13">
        <v>31500</v>
      </c>
      <c r="AF26" s="14">
        <v>126315</v>
      </c>
      <c r="AG26" s="14">
        <v>-31</v>
      </c>
      <c r="AH26" s="14">
        <v>21735</v>
      </c>
      <c r="AI26" s="14">
        <v>87157.35</v>
      </c>
      <c r="AJ26" s="14" t="s">
        <v>50</v>
      </c>
      <c r="AK26" s="13" t="s">
        <v>46</v>
      </c>
      <c r="AL26" s="13" t="s">
        <v>120</v>
      </c>
      <c r="AM26" s="13" t="s">
        <v>134</v>
      </c>
      <c r="AN26" s="13" t="s">
        <v>195</v>
      </c>
      <c r="AO26" s="13">
        <v>57</v>
      </c>
      <c r="AP26" s="14">
        <v>57.5</v>
      </c>
      <c r="AQ26" s="14" t="s">
        <v>49</v>
      </c>
      <c r="AR26" s="13">
        <v>0</v>
      </c>
      <c r="AS26" s="14">
        <v>0</v>
      </c>
      <c r="AT26" s="14">
        <v>0</v>
      </c>
      <c r="AU26" s="13" t="s">
        <v>192</v>
      </c>
      <c r="AV26" s="13" t="str">
        <f>HYPERLINK("https://diamdna.azureedge.net/imaged/zi-1896/still.jpg ","Image")</f>
        <v>Image</v>
      </c>
      <c r="AW26" s="13" t="str">
        <f>HYPERLINK("https://diamdna.azureedge.net/Vision360.html?d=zi-1896&amp;sr=-30&amp;s=30 ","Video")</f>
        <v>Video</v>
      </c>
      <c r="AX26" s="13" t="str">
        <f>HYPERLINK("https://diamdna.azureedge.net/imaged/zi-1896/video.mp4 ","Download")</f>
        <v>Download</v>
      </c>
      <c r="AY26" s="13" t="s">
        <v>42</v>
      </c>
      <c r="AZ26" s="13" t="str">
        <f>HYPERLINK("https://diamdna.azureedge.net/reports/3545757657.pdf#zoom=150 ","3545757657")</f>
        <v>3545757657</v>
      </c>
      <c r="BA26" s="13" t="s">
        <v>193</v>
      </c>
      <c r="BB26" s="13">
        <v>4.01</v>
      </c>
      <c r="BC26" s="15" t="s">
        <v>194</v>
      </c>
      <c r="BD26" s="13" t="s">
        <v>78</v>
      </c>
      <c r="BE26" s="13">
        <v>31500</v>
      </c>
      <c r="BF26" s="14">
        <v>126315</v>
      </c>
      <c r="BG26" s="14">
        <v>-31</v>
      </c>
      <c r="BH26" s="14">
        <v>21735</v>
      </c>
      <c r="BI26" s="14">
        <v>87157.35</v>
      </c>
      <c r="BJ26" s="14" t="s">
        <v>50</v>
      </c>
      <c r="BK26" s="13" t="s">
        <v>46</v>
      </c>
      <c r="BL26" s="13" t="s">
        <v>120</v>
      </c>
      <c r="BM26" s="13" t="s">
        <v>134</v>
      </c>
      <c r="BN26" s="13" t="s">
        <v>195</v>
      </c>
      <c r="BO26" s="13">
        <v>57</v>
      </c>
      <c r="BP26" s="14">
        <v>57.5</v>
      </c>
      <c r="BQ26" s="14" t="s">
        <v>49</v>
      </c>
      <c r="BR26" s="13">
        <v>0</v>
      </c>
      <c r="BS26" s="14">
        <v>0</v>
      </c>
      <c r="BT26" s="14">
        <v>0</v>
      </c>
      <c r="BU26" s="14">
        <v>0</v>
      </c>
      <c r="BV26" s="14" t="s">
        <v>196</v>
      </c>
      <c r="BW26" s="13" t="s">
        <v>50</v>
      </c>
      <c r="BX26" s="13" t="s">
        <v>107</v>
      </c>
      <c r="BY26" s="13">
        <v>0</v>
      </c>
      <c r="BZ26" s="14">
        <v>2.27</v>
      </c>
      <c r="CA26" s="14" t="s">
        <v>197</v>
      </c>
      <c r="CB26" s="13" t="s">
        <v>54</v>
      </c>
      <c r="CC26" s="13"/>
      <c r="CD26" s="13" t="s">
        <v>54</v>
      </c>
      <c r="CE26" s="13" t="s">
        <v>83</v>
      </c>
      <c r="CF26" s="13" t="s">
        <v>56</v>
      </c>
      <c r="CG26" s="13" t="s">
        <v>57</v>
      </c>
      <c r="CH26" s="13" t="s">
        <v>198</v>
      </c>
    </row>
    <row r="27" spans="21:86" x14ac:dyDescent="0.3">
      <c r="U27" s="13" t="s">
        <v>199</v>
      </c>
      <c r="V27" s="13" t="str">
        <f>HYPERLINK("https://diamdna.azureedge.net/imaged/ke25-1/still.jpg ","Image")</f>
        <v>Image</v>
      </c>
      <c r="W27" s="13" t="str">
        <f>HYPERLINK("https://diamdna.azureedge.net/Vision360.html?d=ke25-1&amp;sr=-30&amp;s=30 ","Video")</f>
        <v>Video</v>
      </c>
      <c r="X27" s="13" t="str">
        <f>HYPERLINK("https://diamdna.azureedge.net/imaged/ke25-1/video.mp4 ","Download")</f>
        <v>Download</v>
      </c>
      <c r="Y27" s="13" t="s">
        <v>42</v>
      </c>
      <c r="Z27" s="13" t="str">
        <f>HYPERLINK("https://diamdna.azureedge.net/reports/1535840621.pdf#zoom=150 ","1535840621")</f>
        <v>1535840621</v>
      </c>
      <c r="AA27" s="13" t="s">
        <v>113</v>
      </c>
      <c r="AB27" s="13">
        <v>4.01</v>
      </c>
      <c r="AC27" s="14" t="s">
        <v>91</v>
      </c>
      <c r="AD27" s="13" t="s">
        <v>60</v>
      </c>
      <c r="AE27" s="13">
        <v>21000</v>
      </c>
      <c r="AF27" s="14">
        <v>84210</v>
      </c>
      <c r="AG27" s="14">
        <v>-25</v>
      </c>
      <c r="AH27" s="14">
        <v>15750</v>
      </c>
      <c r="AI27" s="14">
        <v>63157.5</v>
      </c>
      <c r="AJ27" s="14" t="s">
        <v>50</v>
      </c>
      <c r="AK27" s="13" t="s">
        <v>46</v>
      </c>
      <c r="AL27" s="13" t="s">
        <v>120</v>
      </c>
      <c r="AM27" s="13" t="s">
        <v>49</v>
      </c>
      <c r="AN27" s="13" t="s">
        <v>200</v>
      </c>
      <c r="AO27" s="13">
        <v>58</v>
      </c>
      <c r="AP27" s="14">
        <v>63.1</v>
      </c>
      <c r="AQ27" s="14" t="s">
        <v>49</v>
      </c>
      <c r="AR27" s="13">
        <v>0</v>
      </c>
      <c r="AS27" s="14">
        <v>0</v>
      </c>
      <c r="AT27" s="14">
        <v>0</v>
      </c>
      <c r="AU27" s="13" t="s">
        <v>199</v>
      </c>
      <c r="AV27" s="13" t="str">
        <f>HYPERLINK("https://diamdna.azureedge.net/imaged/ke25-1/still.jpg ","Image")</f>
        <v>Image</v>
      </c>
      <c r="AW27" s="13" t="str">
        <f>HYPERLINK("https://diamdna.azureedge.net/Vision360.html?d=ke25-1&amp;sr=-30&amp;s=30 ","Video")</f>
        <v>Video</v>
      </c>
      <c r="AX27" s="13" t="str">
        <f>HYPERLINK("https://diamdna.azureedge.net/imaged/ke25-1/video.mp4 ","Download")</f>
        <v>Download</v>
      </c>
      <c r="AY27" s="13" t="s">
        <v>42</v>
      </c>
      <c r="AZ27" s="13" t="str">
        <f>HYPERLINK("https://diamdna.azureedge.net/reports/1535840621.pdf#zoom=150 ","1535840621")</f>
        <v>1535840621</v>
      </c>
      <c r="BA27" s="13" t="s">
        <v>113</v>
      </c>
      <c r="BB27" s="13">
        <v>4.01</v>
      </c>
      <c r="BC27" s="14" t="s">
        <v>91</v>
      </c>
      <c r="BD27" s="13" t="s">
        <v>60</v>
      </c>
      <c r="BE27" s="13">
        <v>21000</v>
      </c>
      <c r="BF27" s="14">
        <v>84210</v>
      </c>
      <c r="BG27" s="14">
        <v>-25</v>
      </c>
      <c r="BH27" s="14">
        <v>15750</v>
      </c>
      <c r="BI27" s="14">
        <v>63157.5</v>
      </c>
      <c r="BJ27" s="14" t="s">
        <v>50</v>
      </c>
      <c r="BK27" s="13" t="s">
        <v>46</v>
      </c>
      <c r="BL27" s="13" t="s">
        <v>120</v>
      </c>
      <c r="BM27" s="13" t="s">
        <v>49</v>
      </c>
      <c r="BN27" s="13" t="s">
        <v>200</v>
      </c>
      <c r="BO27" s="13">
        <v>58</v>
      </c>
      <c r="BP27" s="14">
        <v>63.1</v>
      </c>
      <c r="BQ27" s="14" t="s">
        <v>49</v>
      </c>
      <c r="BR27" s="13">
        <v>0</v>
      </c>
      <c r="BS27" s="14">
        <v>0</v>
      </c>
      <c r="BT27" s="14">
        <v>0</v>
      </c>
      <c r="BU27" s="14">
        <v>0</v>
      </c>
      <c r="BV27" s="14" t="s">
        <v>201</v>
      </c>
      <c r="BW27" s="13" t="s">
        <v>50</v>
      </c>
      <c r="BX27" s="13" t="s">
        <v>202</v>
      </c>
      <c r="BY27" s="13">
        <v>4.3499999999999996</v>
      </c>
      <c r="BZ27" s="14">
        <v>1.51</v>
      </c>
      <c r="CA27" s="14" t="s">
        <v>63</v>
      </c>
      <c r="CB27" s="13" t="s">
        <v>54</v>
      </c>
      <c r="CC27" s="13" t="s">
        <v>203</v>
      </c>
      <c r="CD27" s="13" t="s">
        <v>54</v>
      </c>
      <c r="CE27" s="13" t="s">
        <v>143</v>
      </c>
      <c r="CF27" s="13" t="s">
        <v>56</v>
      </c>
      <c r="CG27" s="13" t="s">
        <v>65</v>
      </c>
      <c r="CH27" s="13" t="s">
        <v>123</v>
      </c>
    </row>
    <row r="28" spans="21:86" x14ac:dyDescent="0.3">
      <c r="U28" s="13" t="s">
        <v>204</v>
      </c>
      <c r="V28" s="13" t="str">
        <f>HYPERLINK("https://diamdna.azureedge.net/imaged/ma25-9/still.jpg ","Image")</f>
        <v>Image</v>
      </c>
      <c r="W28" s="13" t="str">
        <f>HYPERLINK("https://diamdna.azureedge.net/Vision360.html?d=ma25-9&amp;sr=-30&amp;s=30 ","Video")</f>
        <v>Video</v>
      </c>
      <c r="X28" s="13" t="str">
        <f>HYPERLINK("https://diamdna.azureedge.net/imaged/ma25-9/video.mp4 ","Download")</f>
        <v>Download</v>
      </c>
      <c r="Y28" s="13" t="s">
        <v>76</v>
      </c>
      <c r="Z28" s="13" t="str">
        <f>HYPERLINK("https://diamdna.azureedge.net/reports/766691577.pdf#zoom=150 ","766691577")</f>
        <v>766691577</v>
      </c>
      <c r="AA28" s="13" t="s">
        <v>43</v>
      </c>
      <c r="AB28" s="13">
        <v>4</v>
      </c>
      <c r="AC28" s="14" t="s">
        <v>205</v>
      </c>
      <c r="AD28" s="13" t="s">
        <v>70</v>
      </c>
      <c r="AE28" s="13">
        <v>15000</v>
      </c>
      <c r="AF28" s="14">
        <v>60000</v>
      </c>
      <c r="AG28" s="14">
        <v>-62</v>
      </c>
      <c r="AH28" s="14">
        <v>5700</v>
      </c>
      <c r="AI28" s="14">
        <v>22800</v>
      </c>
      <c r="AJ28" s="14" t="s">
        <v>46</v>
      </c>
      <c r="AK28" s="13" t="s">
        <v>46</v>
      </c>
      <c r="AL28" s="13" t="s">
        <v>46</v>
      </c>
      <c r="AM28" s="13" t="s">
        <v>152</v>
      </c>
      <c r="AN28" s="13" t="s">
        <v>206</v>
      </c>
      <c r="AO28" s="13">
        <v>62</v>
      </c>
      <c r="AP28" s="14">
        <v>61.2</v>
      </c>
      <c r="AQ28" s="14" t="s">
        <v>80</v>
      </c>
      <c r="AR28" s="13">
        <v>33.6</v>
      </c>
      <c r="AS28" s="14">
        <v>12.5</v>
      </c>
      <c r="AT28" s="14">
        <v>41.5</v>
      </c>
      <c r="AU28" s="13" t="s">
        <v>204</v>
      </c>
      <c r="AV28" s="13" t="str">
        <f>HYPERLINK("https://diamdna.azureedge.net/imaged/ma25-9/still.jpg ","Image")</f>
        <v>Image</v>
      </c>
      <c r="AW28" s="13" t="str">
        <f>HYPERLINK("https://diamdna.azureedge.net/Vision360.html?d=ma25-9&amp;sr=-30&amp;s=30 ","Video")</f>
        <v>Video</v>
      </c>
      <c r="AX28" s="13" t="str">
        <f>HYPERLINK("https://diamdna.azureedge.net/imaged/ma25-9/video.mp4 ","Download")</f>
        <v>Download</v>
      </c>
      <c r="AY28" s="13" t="s">
        <v>76</v>
      </c>
      <c r="AZ28" s="13" t="str">
        <f>HYPERLINK("https://diamdna.azureedge.net/reports/766691577.pdf#zoom=150 ","766691577")</f>
        <v>766691577</v>
      </c>
      <c r="BA28" s="13" t="s">
        <v>43</v>
      </c>
      <c r="BB28" s="13">
        <v>4</v>
      </c>
      <c r="BC28" s="14" t="s">
        <v>205</v>
      </c>
      <c r="BD28" s="13" t="s">
        <v>70</v>
      </c>
      <c r="BE28" s="13">
        <v>15000</v>
      </c>
      <c r="BF28" s="14">
        <v>60000</v>
      </c>
      <c r="BG28" s="14">
        <v>-62</v>
      </c>
      <c r="BH28" s="14">
        <v>5700</v>
      </c>
      <c r="BI28" s="14">
        <v>22800</v>
      </c>
      <c r="BJ28" s="14" t="s">
        <v>46</v>
      </c>
      <c r="BK28" s="13" t="s">
        <v>46</v>
      </c>
      <c r="BL28" s="13" t="s">
        <v>46</v>
      </c>
      <c r="BM28" s="13" t="s">
        <v>152</v>
      </c>
      <c r="BN28" s="13" t="s">
        <v>206</v>
      </c>
      <c r="BO28" s="13">
        <v>62</v>
      </c>
      <c r="BP28" s="14">
        <v>61.2</v>
      </c>
      <c r="BQ28" s="14" t="s">
        <v>80</v>
      </c>
      <c r="BR28" s="13">
        <v>33.6</v>
      </c>
      <c r="BS28" s="14">
        <v>12.5</v>
      </c>
      <c r="BT28" s="14">
        <v>41.5</v>
      </c>
      <c r="BU28" s="14">
        <v>44</v>
      </c>
      <c r="BV28" s="14"/>
      <c r="BW28" s="13" t="s">
        <v>50</v>
      </c>
      <c r="BX28" s="13" t="s">
        <v>51</v>
      </c>
      <c r="BY28" s="13">
        <v>4.5</v>
      </c>
      <c r="BZ28" s="14">
        <v>1.01</v>
      </c>
      <c r="CA28" s="14" t="s">
        <v>52</v>
      </c>
      <c r="CB28" s="13" t="s">
        <v>53</v>
      </c>
      <c r="CC28" s="13" t="s">
        <v>82</v>
      </c>
      <c r="CD28" s="13" t="s">
        <v>54</v>
      </c>
      <c r="CE28" s="13" t="s">
        <v>55</v>
      </c>
      <c r="CF28" s="13" t="s">
        <v>56</v>
      </c>
      <c r="CG28" s="13" t="s">
        <v>130</v>
      </c>
      <c r="CH28" s="13" t="s">
        <v>111</v>
      </c>
    </row>
    <row r="29" spans="21:86" x14ac:dyDescent="0.3">
      <c r="U29" s="13" t="s">
        <v>207</v>
      </c>
      <c r="V29" s="13" t="str">
        <f>HYPERLINK("https://diamdna.azureedge.net/imaged/mb25-1/still.jpg ","Image")</f>
        <v>Image</v>
      </c>
      <c r="W29" s="13" t="str">
        <f>HYPERLINK("https://diamdna.azureedge.net/Vision360.html?d=mb25-1&amp;sr=-30&amp;s=30 ","Video")</f>
        <v>Video</v>
      </c>
      <c r="X29" s="13" t="str">
        <f>HYPERLINK("https://diamdna.azureedge.net/imaged/mb25-1/video.mp4 ","Download")</f>
        <v>Download</v>
      </c>
      <c r="Y29" s="13" t="s">
        <v>42</v>
      </c>
      <c r="Z29" s="13" t="str">
        <f>HYPERLINK("https://diamdna.azureedge.net/reports/6542914990.pdf#zoom=150 ","6542914990")</f>
        <v>6542914990</v>
      </c>
      <c r="AA29" s="13" t="s">
        <v>43</v>
      </c>
      <c r="AB29" s="13">
        <v>3.6</v>
      </c>
      <c r="AC29" s="15" t="s">
        <v>91</v>
      </c>
      <c r="AD29" s="13" t="s">
        <v>45</v>
      </c>
      <c r="AE29" s="13">
        <v>55000</v>
      </c>
      <c r="AF29" s="14">
        <v>198000</v>
      </c>
      <c r="AG29" s="14">
        <v>-35</v>
      </c>
      <c r="AH29" s="14">
        <v>35750</v>
      </c>
      <c r="AI29" s="14">
        <v>128700</v>
      </c>
      <c r="AJ29" s="14" t="s">
        <v>46</v>
      </c>
      <c r="AK29" s="13" t="s">
        <v>46</v>
      </c>
      <c r="AL29" s="13" t="s">
        <v>46</v>
      </c>
      <c r="AM29" s="13" t="s">
        <v>49</v>
      </c>
      <c r="AN29" s="13" t="s">
        <v>208</v>
      </c>
      <c r="AO29" s="13">
        <v>58</v>
      </c>
      <c r="AP29" s="14">
        <v>61.4</v>
      </c>
      <c r="AQ29" s="14" t="s">
        <v>49</v>
      </c>
      <c r="AR29" s="13">
        <v>34.5</v>
      </c>
      <c r="AS29" s="14">
        <v>14.5</v>
      </c>
      <c r="AT29" s="14">
        <v>41</v>
      </c>
      <c r="AU29" s="13" t="s">
        <v>207</v>
      </c>
      <c r="AV29" s="13" t="str">
        <f>HYPERLINK("https://diamdna.azureedge.net/imaged/mb25-1/still.jpg ","Image")</f>
        <v>Image</v>
      </c>
      <c r="AW29" s="13" t="str">
        <f>HYPERLINK("https://diamdna.azureedge.net/Vision360.html?d=mb25-1&amp;sr=-30&amp;s=30 ","Video")</f>
        <v>Video</v>
      </c>
      <c r="AX29" s="13" t="str">
        <f>HYPERLINK("https://diamdna.azureedge.net/imaged/mb25-1/video.mp4 ","Download")</f>
        <v>Download</v>
      </c>
      <c r="AY29" s="13" t="s">
        <v>42</v>
      </c>
      <c r="AZ29" s="13" t="str">
        <f>HYPERLINK("https://diamdna.azureedge.net/reports/6542914990.pdf#zoom=150 ","6542914990")</f>
        <v>6542914990</v>
      </c>
      <c r="BA29" s="13" t="s">
        <v>43</v>
      </c>
      <c r="BB29" s="13">
        <v>3.6</v>
      </c>
      <c r="BC29" s="15" t="s">
        <v>91</v>
      </c>
      <c r="BD29" s="13" t="s">
        <v>45</v>
      </c>
      <c r="BE29" s="13">
        <v>55000</v>
      </c>
      <c r="BF29" s="14">
        <v>198000</v>
      </c>
      <c r="BG29" s="14">
        <v>-35</v>
      </c>
      <c r="BH29" s="14">
        <v>35750</v>
      </c>
      <c r="BI29" s="14">
        <v>128700</v>
      </c>
      <c r="BJ29" s="14" t="s">
        <v>46</v>
      </c>
      <c r="BK29" s="13" t="s">
        <v>46</v>
      </c>
      <c r="BL29" s="13" t="s">
        <v>46</v>
      </c>
      <c r="BM29" s="13" t="s">
        <v>49</v>
      </c>
      <c r="BN29" s="13" t="s">
        <v>208</v>
      </c>
      <c r="BO29" s="13">
        <v>58</v>
      </c>
      <c r="BP29" s="14">
        <v>61.4</v>
      </c>
      <c r="BQ29" s="14" t="s">
        <v>49</v>
      </c>
      <c r="BR29" s="13">
        <v>34.5</v>
      </c>
      <c r="BS29" s="14">
        <v>14.5</v>
      </c>
      <c r="BT29" s="14">
        <v>41</v>
      </c>
      <c r="BU29" s="14">
        <v>43.5</v>
      </c>
      <c r="BV29" s="14"/>
      <c r="BW29" s="13" t="s">
        <v>50</v>
      </c>
      <c r="BX29" s="13" t="s">
        <v>51</v>
      </c>
      <c r="BY29" s="13">
        <v>3.5</v>
      </c>
      <c r="BZ29" s="14">
        <v>1.01</v>
      </c>
      <c r="CA29" s="14" t="s">
        <v>52</v>
      </c>
      <c r="CB29" s="13" t="s">
        <v>53</v>
      </c>
      <c r="CC29" s="13"/>
      <c r="CD29" s="13" t="s">
        <v>54</v>
      </c>
      <c r="CE29" s="13" t="s">
        <v>178</v>
      </c>
      <c r="CF29" s="13" t="s">
        <v>56</v>
      </c>
      <c r="CG29" s="13" t="s">
        <v>57</v>
      </c>
      <c r="CH29" s="13" t="s">
        <v>209</v>
      </c>
    </row>
    <row r="30" spans="21:86" x14ac:dyDescent="0.3">
      <c r="U30" s="13" t="s">
        <v>210</v>
      </c>
      <c r="V30" s="13" t="str">
        <f>HYPERLINK("https://diamdna.azureedge.net/imaged/mb25-2/still.jpg ","Image")</f>
        <v>Image</v>
      </c>
      <c r="W30" s="13" t="str">
        <f>HYPERLINK("https://diamdna.azureedge.net/Vision360.html?d=mb25-2&amp;sr=-30&amp;s=30 ","Video")</f>
        <v>Video</v>
      </c>
      <c r="X30" s="13" t="str">
        <f>HYPERLINK("https://diamdna.azureedge.net/imaged/mb25-2/video.mp4 ","Download")</f>
        <v>Download</v>
      </c>
      <c r="Y30" s="13" t="s">
        <v>42</v>
      </c>
      <c r="Z30" s="13" t="str">
        <f>HYPERLINK("https://diamdna.azureedge.net/reports/2544927050.pdf#zoom=150 ","2544927050")</f>
        <v>2544927050</v>
      </c>
      <c r="AA30" s="13" t="s">
        <v>43</v>
      </c>
      <c r="AB30" s="13">
        <v>3.47</v>
      </c>
      <c r="AC30" s="15" t="s">
        <v>91</v>
      </c>
      <c r="AD30" s="13" t="s">
        <v>45</v>
      </c>
      <c r="AE30" s="13">
        <v>55000</v>
      </c>
      <c r="AF30" s="14">
        <v>190850</v>
      </c>
      <c r="AG30" s="14">
        <v>-36</v>
      </c>
      <c r="AH30" s="14">
        <v>35200</v>
      </c>
      <c r="AI30" s="14">
        <v>122144</v>
      </c>
      <c r="AJ30" s="14" t="s">
        <v>46</v>
      </c>
      <c r="AK30" s="13" t="s">
        <v>46</v>
      </c>
      <c r="AL30" s="13" t="s">
        <v>46</v>
      </c>
      <c r="AM30" s="13" t="s">
        <v>49</v>
      </c>
      <c r="AN30" s="13" t="s">
        <v>211</v>
      </c>
      <c r="AO30" s="13">
        <v>59</v>
      </c>
      <c r="AP30" s="14">
        <v>60.8</v>
      </c>
      <c r="AQ30" s="14" t="s">
        <v>49</v>
      </c>
      <c r="AR30" s="13">
        <v>34</v>
      </c>
      <c r="AS30" s="14">
        <v>14</v>
      </c>
      <c r="AT30" s="14">
        <v>40.799999999999997</v>
      </c>
      <c r="AU30" s="13" t="s">
        <v>210</v>
      </c>
      <c r="AV30" s="13" t="str">
        <f>HYPERLINK("https://diamdna.azureedge.net/imaged/mb25-2/still.jpg ","Image")</f>
        <v>Image</v>
      </c>
      <c r="AW30" s="13" t="str">
        <f>HYPERLINK("https://diamdna.azureedge.net/Vision360.html?d=mb25-2&amp;sr=-30&amp;s=30 ","Video")</f>
        <v>Video</v>
      </c>
      <c r="AX30" s="13" t="str">
        <f>HYPERLINK("https://diamdna.azureedge.net/imaged/mb25-2/video.mp4 ","Download")</f>
        <v>Download</v>
      </c>
      <c r="AY30" s="13" t="s">
        <v>42</v>
      </c>
      <c r="AZ30" s="13" t="str">
        <f>HYPERLINK("https://diamdna.azureedge.net/reports/2544927050.pdf#zoom=150 ","2544927050")</f>
        <v>2544927050</v>
      </c>
      <c r="BA30" s="13" t="s">
        <v>43</v>
      </c>
      <c r="BB30" s="13">
        <v>3.47</v>
      </c>
      <c r="BC30" s="15" t="s">
        <v>91</v>
      </c>
      <c r="BD30" s="13" t="s">
        <v>45</v>
      </c>
      <c r="BE30" s="13">
        <v>55000</v>
      </c>
      <c r="BF30" s="14">
        <v>190850</v>
      </c>
      <c r="BG30" s="14">
        <v>-36</v>
      </c>
      <c r="BH30" s="14">
        <v>35200</v>
      </c>
      <c r="BI30" s="14">
        <v>122144</v>
      </c>
      <c r="BJ30" s="14" t="s">
        <v>46</v>
      </c>
      <c r="BK30" s="13" t="s">
        <v>46</v>
      </c>
      <c r="BL30" s="13" t="s">
        <v>46</v>
      </c>
      <c r="BM30" s="13" t="s">
        <v>49</v>
      </c>
      <c r="BN30" s="13" t="s">
        <v>211</v>
      </c>
      <c r="BO30" s="13">
        <v>59</v>
      </c>
      <c r="BP30" s="14">
        <v>60.8</v>
      </c>
      <c r="BQ30" s="14" t="s">
        <v>49</v>
      </c>
      <c r="BR30" s="13">
        <v>34</v>
      </c>
      <c r="BS30" s="14">
        <v>14</v>
      </c>
      <c r="BT30" s="14">
        <v>40.799999999999997</v>
      </c>
      <c r="BU30" s="14">
        <v>43</v>
      </c>
      <c r="BV30" s="14"/>
      <c r="BW30" s="13" t="s">
        <v>50</v>
      </c>
      <c r="BX30" s="13" t="s">
        <v>81</v>
      </c>
      <c r="BY30" s="13">
        <v>4</v>
      </c>
      <c r="BZ30" s="14">
        <v>1.01</v>
      </c>
      <c r="CA30" s="14" t="s">
        <v>52</v>
      </c>
      <c r="CB30" s="13" t="s">
        <v>53</v>
      </c>
      <c r="CC30" s="13"/>
      <c r="CD30" s="13" t="s">
        <v>54</v>
      </c>
      <c r="CE30" s="13" t="s">
        <v>178</v>
      </c>
      <c r="CF30" s="13" t="s">
        <v>56</v>
      </c>
      <c r="CG30" s="13" t="s">
        <v>57</v>
      </c>
      <c r="CH30" s="13" t="s">
        <v>212</v>
      </c>
    </row>
    <row r="31" spans="21:86" x14ac:dyDescent="0.3">
      <c r="U31" s="13" t="s">
        <v>213</v>
      </c>
      <c r="V31" s="13" t="str">
        <f>HYPERLINK("https://diamdna.azureedge.net/imaged/kl25-11/still.jpg ","Image")</f>
        <v>Image</v>
      </c>
      <c r="W31" s="13" t="str">
        <f>HYPERLINK("https://diamdna.azureedge.net/Vision360.html?d=kl25-11&amp;sr=-30&amp;s=30 ","Video")</f>
        <v>Video</v>
      </c>
      <c r="X31" s="13" t="str">
        <f>HYPERLINK("https://diamdna.azureedge.net/imaged/kl25-11/video.mp4 ","Download")</f>
        <v>Download</v>
      </c>
      <c r="Y31" s="13" t="s">
        <v>42</v>
      </c>
      <c r="Z31" s="13" t="str">
        <f>HYPERLINK("https://diamdna.azureedge.net/reports/2544320191.pdf#zoom=150 ","2544320191")</f>
        <v>2544320191</v>
      </c>
      <c r="AA31" s="13" t="s">
        <v>214</v>
      </c>
      <c r="AB31" s="13">
        <v>3.15</v>
      </c>
      <c r="AC31" s="14" t="s">
        <v>69</v>
      </c>
      <c r="AD31" s="13" t="s">
        <v>133</v>
      </c>
      <c r="AE31" s="13">
        <v>14500</v>
      </c>
      <c r="AF31" s="14">
        <v>45675</v>
      </c>
      <c r="AG31" s="14">
        <v>-63</v>
      </c>
      <c r="AH31" s="14">
        <v>5365</v>
      </c>
      <c r="AI31" s="14">
        <v>16899.75</v>
      </c>
      <c r="AJ31" s="14" t="s">
        <v>50</v>
      </c>
      <c r="AK31" s="13" t="s">
        <v>46</v>
      </c>
      <c r="AL31" s="13" t="s">
        <v>46</v>
      </c>
      <c r="AM31" s="13" t="s">
        <v>49</v>
      </c>
      <c r="AN31" s="13" t="s">
        <v>215</v>
      </c>
      <c r="AO31" s="13">
        <v>62</v>
      </c>
      <c r="AP31" s="14">
        <v>50.1</v>
      </c>
      <c r="AQ31" s="14" t="s">
        <v>49</v>
      </c>
      <c r="AR31" s="13">
        <v>0</v>
      </c>
      <c r="AS31" s="14">
        <v>0</v>
      </c>
      <c r="AT31" s="14">
        <v>0</v>
      </c>
      <c r="AU31" s="13" t="s">
        <v>213</v>
      </c>
      <c r="AV31" s="13" t="str">
        <f>HYPERLINK("https://diamdna.azureedge.net/imaged/kl25-11/still.jpg ","Image")</f>
        <v>Image</v>
      </c>
      <c r="AW31" s="13" t="str">
        <f>HYPERLINK("https://diamdna.azureedge.net/Vision360.html?d=kl25-11&amp;sr=-30&amp;s=30 ","Video")</f>
        <v>Video</v>
      </c>
      <c r="AX31" s="13" t="str">
        <f>HYPERLINK("https://diamdna.azureedge.net/imaged/kl25-11/video.mp4 ","Download")</f>
        <v>Download</v>
      </c>
      <c r="AY31" s="13" t="s">
        <v>42</v>
      </c>
      <c r="AZ31" s="13" t="str">
        <f>HYPERLINK("https://diamdna.azureedge.net/reports/2544320191.pdf#zoom=150 ","2544320191")</f>
        <v>2544320191</v>
      </c>
      <c r="BA31" s="13" t="s">
        <v>214</v>
      </c>
      <c r="BB31" s="13">
        <v>3.15</v>
      </c>
      <c r="BC31" s="14" t="s">
        <v>69</v>
      </c>
      <c r="BD31" s="13" t="s">
        <v>133</v>
      </c>
      <c r="BE31" s="13">
        <v>14500</v>
      </c>
      <c r="BF31" s="14">
        <v>45675</v>
      </c>
      <c r="BG31" s="14">
        <v>-63</v>
      </c>
      <c r="BH31" s="14">
        <v>5365</v>
      </c>
      <c r="BI31" s="14">
        <v>16899.75</v>
      </c>
      <c r="BJ31" s="14" t="s">
        <v>50</v>
      </c>
      <c r="BK31" s="13" t="s">
        <v>46</v>
      </c>
      <c r="BL31" s="13" t="s">
        <v>46</v>
      </c>
      <c r="BM31" s="13" t="s">
        <v>49</v>
      </c>
      <c r="BN31" s="13" t="s">
        <v>215</v>
      </c>
      <c r="BO31" s="13">
        <v>62</v>
      </c>
      <c r="BP31" s="14">
        <v>50.1</v>
      </c>
      <c r="BQ31" s="14" t="s">
        <v>49</v>
      </c>
      <c r="BR31" s="13">
        <v>0</v>
      </c>
      <c r="BS31" s="14">
        <v>0</v>
      </c>
      <c r="BT31" s="14">
        <v>0</v>
      </c>
      <c r="BU31" s="14">
        <v>0</v>
      </c>
      <c r="BV31" s="14" t="s">
        <v>216</v>
      </c>
      <c r="BW31" s="13" t="s">
        <v>50</v>
      </c>
      <c r="BX31" s="13" t="s">
        <v>72</v>
      </c>
      <c r="BY31" s="13">
        <v>0</v>
      </c>
      <c r="BZ31" s="14">
        <v>1.1100000000000001</v>
      </c>
      <c r="CA31" s="14" t="s">
        <v>99</v>
      </c>
      <c r="CB31" s="13" t="s">
        <v>54</v>
      </c>
      <c r="CC31" s="13" t="s">
        <v>217</v>
      </c>
      <c r="CD31" s="13" t="s">
        <v>54</v>
      </c>
      <c r="CE31" s="13" t="s">
        <v>110</v>
      </c>
      <c r="CF31" s="13" t="s">
        <v>56</v>
      </c>
      <c r="CG31" s="13" t="s">
        <v>57</v>
      </c>
      <c r="CH31" s="13" t="s">
        <v>218</v>
      </c>
    </row>
    <row r="32" spans="21:86" x14ac:dyDescent="0.3">
      <c r="U32" s="13" t="s">
        <v>219</v>
      </c>
      <c r="V32" s="13" t="str">
        <f>HYPERLINK("https://diamdna.azureedge.net/imaged/kl25-22/still.jpg ","Image")</f>
        <v>Image</v>
      </c>
      <c r="W32" s="13" t="str">
        <f>HYPERLINK("https://diamdna.azureedge.net/Vision360.html?d=kl25-22&amp;sr=-30&amp;s=30 ","Video")</f>
        <v>Video</v>
      </c>
      <c r="X32" s="13" t="str">
        <f>HYPERLINK("https://diamdna.azureedge.net/imaged/kl25-22/video.mp4 ","Download")</f>
        <v>Download</v>
      </c>
      <c r="Y32" s="13" t="s">
        <v>163</v>
      </c>
      <c r="Z32" s="13" t="str">
        <f>HYPERLINK("https://diamdna.azureedge.net/reports/260000024276.pdf#zoom=150 ","260000024276")</f>
        <v>260000024276</v>
      </c>
      <c r="AA32" s="13" t="s">
        <v>113</v>
      </c>
      <c r="AB32" s="13">
        <v>3.06</v>
      </c>
      <c r="AC32" s="14" t="s">
        <v>44</v>
      </c>
      <c r="AD32" s="13" t="s">
        <v>60</v>
      </c>
      <c r="AE32" s="13">
        <v>10200</v>
      </c>
      <c r="AF32" s="14">
        <v>31212</v>
      </c>
      <c r="AG32" s="14">
        <v>-62</v>
      </c>
      <c r="AH32" s="14">
        <v>3876</v>
      </c>
      <c r="AI32" s="14">
        <v>11860.56</v>
      </c>
      <c r="AJ32" s="14" t="s">
        <v>50</v>
      </c>
      <c r="AK32" s="13" t="s">
        <v>46</v>
      </c>
      <c r="AL32" s="13" t="s">
        <v>120</v>
      </c>
      <c r="AM32" s="13" t="s">
        <v>49</v>
      </c>
      <c r="AN32" s="13" t="s">
        <v>220</v>
      </c>
      <c r="AO32" s="13">
        <v>56</v>
      </c>
      <c r="AP32" s="14">
        <v>63.1</v>
      </c>
      <c r="AQ32" s="14" t="s">
        <v>165</v>
      </c>
      <c r="AR32" s="13">
        <v>0</v>
      </c>
      <c r="AS32" s="14">
        <v>16</v>
      </c>
      <c r="AT32" s="14">
        <v>0</v>
      </c>
      <c r="AU32" s="13" t="s">
        <v>219</v>
      </c>
      <c r="AV32" s="13" t="str">
        <f>HYPERLINK("https://diamdna.azureedge.net/imaged/kl25-22/still.jpg ","Image")</f>
        <v>Image</v>
      </c>
      <c r="AW32" s="13" t="str">
        <f>HYPERLINK("https://diamdna.azureedge.net/Vision360.html?d=kl25-22&amp;sr=-30&amp;s=30 ","Video")</f>
        <v>Video</v>
      </c>
      <c r="AX32" s="13" t="str">
        <f>HYPERLINK("https://diamdna.azureedge.net/imaged/kl25-22/video.mp4 ","Download")</f>
        <v>Download</v>
      </c>
      <c r="AY32" s="13" t="s">
        <v>163</v>
      </c>
      <c r="AZ32" s="13" t="str">
        <f>HYPERLINK("https://diamdna.azureedge.net/reports/260000024276.pdf#zoom=150 ","260000024276")</f>
        <v>260000024276</v>
      </c>
      <c r="BA32" s="13" t="s">
        <v>113</v>
      </c>
      <c r="BB32" s="13">
        <v>3.06</v>
      </c>
      <c r="BC32" s="14" t="s">
        <v>44</v>
      </c>
      <c r="BD32" s="13" t="s">
        <v>60</v>
      </c>
      <c r="BE32" s="13">
        <v>10200</v>
      </c>
      <c r="BF32" s="14">
        <v>31212</v>
      </c>
      <c r="BG32" s="14">
        <v>-62</v>
      </c>
      <c r="BH32" s="14">
        <v>3876</v>
      </c>
      <c r="BI32" s="14">
        <v>11860.56</v>
      </c>
      <c r="BJ32" s="14" t="s">
        <v>50</v>
      </c>
      <c r="BK32" s="13" t="s">
        <v>46</v>
      </c>
      <c r="BL32" s="13" t="s">
        <v>120</v>
      </c>
      <c r="BM32" s="13" t="s">
        <v>49</v>
      </c>
      <c r="BN32" s="13" t="s">
        <v>220</v>
      </c>
      <c r="BO32" s="13">
        <v>56</v>
      </c>
      <c r="BP32" s="14">
        <v>63.1</v>
      </c>
      <c r="BQ32" s="14" t="s">
        <v>165</v>
      </c>
      <c r="BR32" s="13">
        <v>0</v>
      </c>
      <c r="BS32" s="14">
        <v>16</v>
      </c>
      <c r="BT32" s="14">
        <v>0</v>
      </c>
      <c r="BU32" s="14">
        <v>43</v>
      </c>
      <c r="BV32" s="14"/>
      <c r="BW32" s="13" t="s">
        <v>50</v>
      </c>
      <c r="BX32" s="13" t="s">
        <v>142</v>
      </c>
      <c r="BY32" s="13">
        <v>4</v>
      </c>
      <c r="BZ32" s="14">
        <v>1.61</v>
      </c>
      <c r="CA32" s="14" t="s">
        <v>99</v>
      </c>
      <c r="CB32" s="13" t="s">
        <v>54</v>
      </c>
      <c r="CC32" s="13"/>
      <c r="CD32" s="13" t="s">
        <v>54</v>
      </c>
      <c r="CE32" s="13" t="s">
        <v>110</v>
      </c>
      <c r="CF32" s="13" t="s">
        <v>56</v>
      </c>
      <c r="CG32" s="13" t="s">
        <v>130</v>
      </c>
      <c r="CH32" s="13" t="s">
        <v>131</v>
      </c>
    </row>
    <row r="33" spans="21:86" x14ac:dyDescent="0.3">
      <c r="U33" s="13" t="s">
        <v>221</v>
      </c>
      <c r="V33" s="13" t="str">
        <f>HYPERLINK("https://diamdna.azureedge.net/imaged/kl25-17/still.jpg ","Image")</f>
        <v>Image</v>
      </c>
      <c r="W33" s="13" t="str">
        <f>HYPERLINK("https://diamdna.azureedge.net/Vision360.html?d=kl25-17&amp;sr=-30&amp;s=30 ","Video")</f>
        <v>Video</v>
      </c>
      <c r="X33" s="13" t="str">
        <f>HYPERLINK("https://diamdna.azureedge.net/imaged/kl25-17/video.mp4 ","Download")</f>
        <v>Download</v>
      </c>
      <c r="Y33" s="13" t="s">
        <v>42</v>
      </c>
      <c r="Z33" s="13" t="str">
        <f>HYPERLINK("https://diamdna.azureedge.net/reports/6542351836.pdf#zoom=150 ","6542351836")</f>
        <v>6542351836</v>
      </c>
      <c r="AA33" s="13" t="s">
        <v>102</v>
      </c>
      <c r="AB33" s="13">
        <v>3.03</v>
      </c>
      <c r="AC33" s="14" t="s">
        <v>222</v>
      </c>
      <c r="AD33" s="13" t="s">
        <v>125</v>
      </c>
      <c r="AE33" s="13">
        <v>6000</v>
      </c>
      <c r="AF33" s="14">
        <v>18180</v>
      </c>
      <c r="AG33" s="14">
        <v>67</v>
      </c>
      <c r="AH33" s="14">
        <v>10020</v>
      </c>
      <c r="AI33" s="14">
        <v>30360.6</v>
      </c>
      <c r="AJ33" s="14" t="s">
        <v>50</v>
      </c>
      <c r="AK33" s="13" t="s">
        <v>46</v>
      </c>
      <c r="AL33" s="13" t="s">
        <v>46</v>
      </c>
      <c r="AM33" s="13" t="s">
        <v>49</v>
      </c>
      <c r="AN33" s="13" t="s">
        <v>223</v>
      </c>
      <c r="AO33" s="13">
        <v>57</v>
      </c>
      <c r="AP33" s="14">
        <v>64.3</v>
      </c>
      <c r="AQ33" s="14" t="s">
        <v>49</v>
      </c>
      <c r="AR33" s="13">
        <v>0</v>
      </c>
      <c r="AS33" s="14">
        <v>0</v>
      </c>
      <c r="AT33" s="14">
        <v>0</v>
      </c>
      <c r="AU33" s="13" t="s">
        <v>221</v>
      </c>
      <c r="AV33" s="13" t="str">
        <f>HYPERLINK("https://diamdna.azureedge.net/imaged/kl25-17/still.jpg ","Image")</f>
        <v>Image</v>
      </c>
      <c r="AW33" s="13" t="str">
        <f>HYPERLINK("https://diamdna.azureedge.net/Vision360.html?d=kl25-17&amp;sr=-30&amp;s=30 ","Video")</f>
        <v>Video</v>
      </c>
      <c r="AX33" s="13" t="str">
        <f>HYPERLINK("https://diamdna.azureedge.net/imaged/kl25-17/video.mp4 ","Download")</f>
        <v>Download</v>
      </c>
      <c r="AY33" s="13" t="s">
        <v>42</v>
      </c>
      <c r="AZ33" s="13" t="str">
        <f>HYPERLINK("https://diamdna.azureedge.net/reports/6542351836.pdf#zoom=150 ","6542351836")</f>
        <v>6542351836</v>
      </c>
      <c r="BA33" s="13" t="s">
        <v>102</v>
      </c>
      <c r="BB33" s="13">
        <v>3.03</v>
      </c>
      <c r="BC33" s="14" t="s">
        <v>222</v>
      </c>
      <c r="BD33" s="13" t="s">
        <v>125</v>
      </c>
      <c r="BE33" s="13">
        <v>6000</v>
      </c>
      <c r="BF33" s="14">
        <v>18180</v>
      </c>
      <c r="BG33" s="14">
        <v>67</v>
      </c>
      <c r="BH33" s="14">
        <v>10020</v>
      </c>
      <c r="BI33" s="14">
        <v>30360.6</v>
      </c>
      <c r="BJ33" s="14" t="s">
        <v>50</v>
      </c>
      <c r="BK33" s="13" t="s">
        <v>46</v>
      </c>
      <c r="BL33" s="13" t="s">
        <v>46</v>
      </c>
      <c r="BM33" s="13" t="s">
        <v>49</v>
      </c>
      <c r="BN33" s="13" t="s">
        <v>223</v>
      </c>
      <c r="BO33" s="13">
        <v>57</v>
      </c>
      <c r="BP33" s="14">
        <v>64.3</v>
      </c>
      <c r="BQ33" s="14" t="s">
        <v>49</v>
      </c>
      <c r="BR33" s="13">
        <v>0</v>
      </c>
      <c r="BS33" s="14">
        <v>0</v>
      </c>
      <c r="BT33" s="14">
        <v>0</v>
      </c>
      <c r="BU33" s="14">
        <v>0</v>
      </c>
      <c r="BV33" s="14" t="s">
        <v>127</v>
      </c>
      <c r="BW33" s="13" t="s">
        <v>50</v>
      </c>
      <c r="BX33" s="13" t="s">
        <v>224</v>
      </c>
      <c r="BY33" s="13">
        <v>5.25</v>
      </c>
      <c r="BZ33" s="14">
        <v>1.07</v>
      </c>
      <c r="CA33" s="14" t="s">
        <v>52</v>
      </c>
      <c r="CB33" s="13" t="s">
        <v>54</v>
      </c>
      <c r="CC33" s="13" t="s">
        <v>225</v>
      </c>
      <c r="CD33" s="13" t="s">
        <v>54</v>
      </c>
      <c r="CE33" s="13" t="s">
        <v>110</v>
      </c>
      <c r="CF33" s="13" t="s">
        <v>56</v>
      </c>
      <c r="CG33" s="13" t="s">
        <v>57</v>
      </c>
      <c r="CH33" s="13" t="s">
        <v>111</v>
      </c>
    </row>
    <row r="34" spans="21:86" x14ac:dyDescent="0.3">
      <c r="U34" s="13" t="s">
        <v>226</v>
      </c>
      <c r="V34" s="13" t="str">
        <f>HYPERLINK("https://diamdna.azureedge.net/imaged/ir25-5/still.jpg ","Image")</f>
        <v>Image</v>
      </c>
      <c r="W34" s="13" t="str">
        <f>HYPERLINK("https://diamdna.azureedge.net/Vision360.html?d=ir25-5&amp;sr=-30&amp;s=30 ","Video")</f>
        <v>Video</v>
      </c>
      <c r="X34" s="13" t="str">
        <f>HYPERLINK("https://diamdna.azureedge.net/imaged/ir25-5/video.mp4 ","Download")</f>
        <v>Download</v>
      </c>
      <c r="Y34" s="13" t="s">
        <v>42</v>
      </c>
      <c r="Z34" s="13" t="str">
        <f>HYPERLINK("https://diamdna.azureedge.net/reports/7536572413.pdf#zoom=150 ","7536572413")</f>
        <v>7536572413</v>
      </c>
      <c r="AA34" s="13" t="s">
        <v>113</v>
      </c>
      <c r="AB34" s="13">
        <v>3.03</v>
      </c>
      <c r="AC34" s="14" t="s">
        <v>194</v>
      </c>
      <c r="AD34" s="13" t="s">
        <v>104</v>
      </c>
      <c r="AE34" s="13">
        <v>25000</v>
      </c>
      <c r="AF34" s="14">
        <v>75750</v>
      </c>
      <c r="AG34" s="14">
        <v>-45</v>
      </c>
      <c r="AH34" s="14">
        <v>13750</v>
      </c>
      <c r="AI34" s="14">
        <v>41662.5</v>
      </c>
      <c r="AJ34" s="14" t="s">
        <v>50</v>
      </c>
      <c r="AK34" s="13" t="s">
        <v>46</v>
      </c>
      <c r="AL34" s="13" t="s">
        <v>46</v>
      </c>
      <c r="AM34" s="13" t="s">
        <v>47</v>
      </c>
      <c r="AN34" s="13" t="s">
        <v>227</v>
      </c>
      <c r="AO34" s="13">
        <v>60</v>
      </c>
      <c r="AP34" s="14">
        <v>62</v>
      </c>
      <c r="AQ34" s="14" t="s">
        <v>49</v>
      </c>
      <c r="AR34" s="13">
        <v>0</v>
      </c>
      <c r="AS34" s="14">
        <v>0</v>
      </c>
      <c r="AT34" s="14">
        <v>0</v>
      </c>
      <c r="AU34" s="13" t="s">
        <v>226</v>
      </c>
      <c r="AV34" s="13" t="str">
        <f>HYPERLINK("https://diamdna.azureedge.net/imaged/ir25-5/still.jpg ","Image")</f>
        <v>Image</v>
      </c>
      <c r="AW34" s="13" t="str">
        <f>HYPERLINK("https://diamdna.azureedge.net/Vision360.html?d=ir25-5&amp;sr=-30&amp;s=30 ","Video")</f>
        <v>Video</v>
      </c>
      <c r="AX34" s="13" t="str">
        <f>HYPERLINK("https://diamdna.azureedge.net/imaged/ir25-5/video.mp4 ","Download")</f>
        <v>Download</v>
      </c>
      <c r="AY34" s="13" t="s">
        <v>42</v>
      </c>
      <c r="AZ34" s="13" t="str">
        <f>HYPERLINK("https://diamdna.azureedge.net/reports/7536572413.pdf#zoom=150 ","7536572413")</f>
        <v>7536572413</v>
      </c>
      <c r="BA34" s="13" t="s">
        <v>113</v>
      </c>
      <c r="BB34" s="13">
        <v>3.03</v>
      </c>
      <c r="BC34" s="14" t="s">
        <v>194</v>
      </c>
      <c r="BD34" s="13" t="s">
        <v>104</v>
      </c>
      <c r="BE34" s="13">
        <v>25000</v>
      </c>
      <c r="BF34" s="14">
        <v>75750</v>
      </c>
      <c r="BG34" s="14">
        <v>-45</v>
      </c>
      <c r="BH34" s="14">
        <v>13750</v>
      </c>
      <c r="BI34" s="14">
        <v>41662.5</v>
      </c>
      <c r="BJ34" s="14" t="s">
        <v>50</v>
      </c>
      <c r="BK34" s="13" t="s">
        <v>46</v>
      </c>
      <c r="BL34" s="13" t="s">
        <v>46</v>
      </c>
      <c r="BM34" s="13" t="s">
        <v>47</v>
      </c>
      <c r="BN34" s="13" t="s">
        <v>227</v>
      </c>
      <c r="BO34" s="13">
        <v>60</v>
      </c>
      <c r="BP34" s="14">
        <v>62</v>
      </c>
      <c r="BQ34" s="14" t="s">
        <v>49</v>
      </c>
      <c r="BR34" s="13">
        <v>0</v>
      </c>
      <c r="BS34" s="14">
        <v>0</v>
      </c>
      <c r="BT34" s="14">
        <v>0</v>
      </c>
      <c r="BU34" s="14">
        <v>0</v>
      </c>
      <c r="BV34" s="14" t="s">
        <v>127</v>
      </c>
      <c r="BW34" s="13" t="s">
        <v>50</v>
      </c>
      <c r="BX34" s="13" t="s">
        <v>72</v>
      </c>
      <c r="BY34" s="13">
        <v>3.6</v>
      </c>
      <c r="BZ34" s="14">
        <v>1.59</v>
      </c>
      <c r="CA34" s="14" t="s">
        <v>52</v>
      </c>
      <c r="CB34" s="13" t="s">
        <v>54</v>
      </c>
      <c r="CC34" s="13" t="s">
        <v>228</v>
      </c>
      <c r="CD34" s="13" t="s">
        <v>54</v>
      </c>
      <c r="CE34" s="13" t="s">
        <v>143</v>
      </c>
      <c r="CF34" s="13" t="s">
        <v>56</v>
      </c>
      <c r="CG34" s="13" t="s">
        <v>57</v>
      </c>
      <c r="CH34" s="13" t="s">
        <v>229</v>
      </c>
    </row>
    <row r="35" spans="21:86" x14ac:dyDescent="0.3">
      <c r="U35" s="13" t="s">
        <v>230</v>
      </c>
      <c r="V35" s="13" t="str">
        <f>HYPERLINK("https://diamdna.azureedge.net/imaged/ej-6/still.jpg ","Image")</f>
        <v>Image</v>
      </c>
      <c r="W35" s="13" t="str">
        <f>HYPERLINK("https://diamdna.azureedge.net/Vision360.html?d=ej-6&amp;sr=-30&amp;s=30 ","Video")</f>
        <v>Video</v>
      </c>
      <c r="X35" s="13" t="str">
        <f>HYPERLINK("https://diamdna.azureedge.net/imaged/ej-6/video.mp4 ","Download")</f>
        <v>Download</v>
      </c>
      <c r="Y35" s="13" t="s">
        <v>163</v>
      </c>
      <c r="Z35" s="13" t="str">
        <f>HYPERLINK("https://diamdna.azureedge.net/reports/250000078455.pdf#zoom=150 ","250000078455")</f>
        <v>250000078455</v>
      </c>
      <c r="AA35" s="13" t="s">
        <v>68</v>
      </c>
      <c r="AB35" s="13">
        <v>3.02</v>
      </c>
      <c r="AC35" s="14" t="s">
        <v>91</v>
      </c>
      <c r="AD35" s="13" t="s">
        <v>133</v>
      </c>
      <c r="AE35" s="13">
        <v>23000</v>
      </c>
      <c r="AF35" s="14">
        <v>69460</v>
      </c>
      <c r="AG35" s="14">
        <v>-60</v>
      </c>
      <c r="AH35" s="14">
        <v>9200</v>
      </c>
      <c r="AI35" s="14">
        <v>27784</v>
      </c>
      <c r="AJ35" s="14" t="s">
        <v>50</v>
      </c>
      <c r="AK35" s="13" t="s">
        <v>46</v>
      </c>
      <c r="AL35" s="13" t="s">
        <v>46</v>
      </c>
      <c r="AM35" s="13" t="s">
        <v>47</v>
      </c>
      <c r="AN35" s="13" t="s">
        <v>231</v>
      </c>
      <c r="AO35" s="13">
        <v>67</v>
      </c>
      <c r="AP35" s="14">
        <v>68</v>
      </c>
      <c r="AQ35" s="14" t="s">
        <v>232</v>
      </c>
      <c r="AR35" s="13">
        <v>0</v>
      </c>
      <c r="AS35" s="14">
        <v>12.5</v>
      </c>
      <c r="AT35" s="14">
        <v>0</v>
      </c>
      <c r="AU35" s="13" t="s">
        <v>230</v>
      </c>
      <c r="AV35" s="13" t="str">
        <f>HYPERLINK("https://diamdna.azureedge.net/imaged/ej-6/still.jpg ","Image")</f>
        <v>Image</v>
      </c>
      <c r="AW35" s="13" t="str">
        <f>HYPERLINK("https://diamdna.azureedge.net/Vision360.html?d=ej-6&amp;sr=-30&amp;s=30 ","Video")</f>
        <v>Video</v>
      </c>
      <c r="AX35" s="13" t="str">
        <f>HYPERLINK("https://diamdna.azureedge.net/imaged/ej-6/video.mp4 ","Download")</f>
        <v>Download</v>
      </c>
      <c r="AY35" s="13" t="s">
        <v>163</v>
      </c>
      <c r="AZ35" s="13" t="str">
        <f>HYPERLINK("https://diamdna.azureedge.net/reports/250000078455.pdf#zoom=150 ","250000078455")</f>
        <v>250000078455</v>
      </c>
      <c r="BA35" s="13" t="s">
        <v>68</v>
      </c>
      <c r="BB35" s="13">
        <v>3.02</v>
      </c>
      <c r="BC35" s="14" t="s">
        <v>91</v>
      </c>
      <c r="BD35" s="13" t="s">
        <v>133</v>
      </c>
      <c r="BE35" s="13">
        <v>23000</v>
      </c>
      <c r="BF35" s="14">
        <v>69460</v>
      </c>
      <c r="BG35" s="14">
        <v>-60</v>
      </c>
      <c r="BH35" s="14">
        <v>9200</v>
      </c>
      <c r="BI35" s="14">
        <v>27784</v>
      </c>
      <c r="BJ35" s="14" t="s">
        <v>50</v>
      </c>
      <c r="BK35" s="13" t="s">
        <v>46</v>
      </c>
      <c r="BL35" s="13" t="s">
        <v>46</v>
      </c>
      <c r="BM35" s="13" t="s">
        <v>47</v>
      </c>
      <c r="BN35" s="13" t="s">
        <v>231</v>
      </c>
      <c r="BO35" s="13">
        <v>67</v>
      </c>
      <c r="BP35" s="14">
        <v>68</v>
      </c>
      <c r="BQ35" s="14" t="s">
        <v>232</v>
      </c>
      <c r="BR35" s="13">
        <v>0</v>
      </c>
      <c r="BS35" s="14">
        <v>12.5</v>
      </c>
      <c r="BT35" s="14">
        <v>0</v>
      </c>
      <c r="BU35" s="14">
        <v>52</v>
      </c>
      <c r="BV35" s="14"/>
      <c r="BW35" s="13" t="s">
        <v>50</v>
      </c>
      <c r="BX35" s="13" t="s">
        <v>142</v>
      </c>
      <c r="BY35" s="13">
        <v>4</v>
      </c>
      <c r="BZ35" s="14">
        <v>1.5</v>
      </c>
      <c r="CA35" s="14" t="s">
        <v>137</v>
      </c>
      <c r="CB35" s="13" t="s">
        <v>54</v>
      </c>
      <c r="CC35" s="13"/>
      <c r="CD35" s="13" t="s">
        <v>54</v>
      </c>
      <c r="CE35" s="13" t="s">
        <v>143</v>
      </c>
      <c r="CF35" s="13" t="s">
        <v>56</v>
      </c>
      <c r="CG35" s="13" t="s">
        <v>57</v>
      </c>
      <c r="CH35" s="13" t="s">
        <v>233</v>
      </c>
    </row>
    <row r="36" spans="21:86" x14ac:dyDescent="0.3">
      <c r="U36" s="13" t="s">
        <v>234</v>
      </c>
      <c r="V36" s="13" t="str">
        <f>HYPERLINK("https://diamdna.azureedge.net/imaged/kk25-2/still.jpg ","Image")</f>
        <v>Image</v>
      </c>
      <c r="W36" s="13" t="str">
        <f>HYPERLINK("https://diamdna.azureedge.net/Vision360.html?d=kk25-2&amp;sr=-30&amp;s=30 ","Video")</f>
        <v>Video</v>
      </c>
      <c r="X36" s="13" t="str">
        <f>HYPERLINK("https://diamdna.azureedge.net/imaged/kk25-2/video.mp4 ","Download")</f>
        <v>Download</v>
      </c>
      <c r="Y36" s="13" t="s">
        <v>42</v>
      </c>
      <c r="Z36" s="13" t="str">
        <f>HYPERLINK("https://diamdna.azureedge.net/reports/2546333494.pdf#zoom=150 ","2546333494")</f>
        <v>2546333494</v>
      </c>
      <c r="AA36" s="13" t="s">
        <v>118</v>
      </c>
      <c r="AB36" s="13">
        <v>3.02</v>
      </c>
      <c r="AC36" s="14" t="s">
        <v>69</v>
      </c>
      <c r="AD36" s="13" t="s">
        <v>125</v>
      </c>
      <c r="AE36" s="13">
        <v>17500</v>
      </c>
      <c r="AF36" s="14">
        <v>52850</v>
      </c>
      <c r="AG36" s="14">
        <v>-41.5</v>
      </c>
      <c r="AH36" s="14">
        <v>10237.5</v>
      </c>
      <c r="AI36" s="14">
        <v>30917.25</v>
      </c>
      <c r="AJ36" s="14" t="s">
        <v>50</v>
      </c>
      <c r="AK36" s="13" t="s">
        <v>46</v>
      </c>
      <c r="AL36" s="13" t="s">
        <v>46</v>
      </c>
      <c r="AM36" s="13" t="s">
        <v>49</v>
      </c>
      <c r="AN36" s="13" t="s">
        <v>235</v>
      </c>
      <c r="AO36" s="13">
        <v>59</v>
      </c>
      <c r="AP36" s="14">
        <v>59</v>
      </c>
      <c r="AQ36" s="14" t="s">
        <v>49</v>
      </c>
      <c r="AR36" s="13">
        <v>0</v>
      </c>
      <c r="AS36" s="14">
        <v>0</v>
      </c>
      <c r="AT36" s="14">
        <v>0</v>
      </c>
      <c r="AU36" s="13" t="s">
        <v>234</v>
      </c>
      <c r="AV36" s="13" t="str">
        <f>HYPERLINK("https://diamdna.azureedge.net/imaged/kk25-2/still.jpg ","Image")</f>
        <v>Image</v>
      </c>
      <c r="AW36" s="13" t="str">
        <f>HYPERLINK("https://diamdna.azureedge.net/Vision360.html?d=kk25-2&amp;sr=-30&amp;s=30 ","Video")</f>
        <v>Video</v>
      </c>
      <c r="AX36" s="13" t="str">
        <f>HYPERLINK("https://diamdna.azureedge.net/imaged/kk25-2/video.mp4 ","Download")</f>
        <v>Download</v>
      </c>
      <c r="AY36" s="13" t="s">
        <v>42</v>
      </c>
      <c r="AZ36" s="13" t="str">
        <f>HYPERLINK("https://diamdna.azureedge.net/reports/2546333494.pdf#zoom=150 ","2546333494")</f>
        <v>2546333494</v>
      </c>
      <c r="BA36" s="13" t="s">
        <v>118</v>
      </c>
      <c r="BB36" s="13">
        <v>3.02</v>
      </c>
      <c r="BC36" s="14" t="s">
        <v>69</v>
      </c>
      <c r="BD36" s="13" t="s">
        <v>125</v>
      </c>
      <c r="BE36" s="13">
        <v>17500</v>
      </c>
      <c r="BF36" s="14">
        <v>52850</v>
      </c>
      <c r="BG36" s="14">
        <v>-41.5</v>
      </c>
      <c r="BH36" s="14">
        <v>10237.5</v>
      </c>
      <c r="BI36" s="14">
        <v>30917.25</v>
      </c>
      <c r="BJ36" s="14" t="s">
        <v>50</v>
      </c>
      <c r="BK36" s="13" t="s">
        <v>46</v>
      </c>
      <c r="BL36" s="13" t="s">
        <v>46</v>
      </c>
      <c r="BM36" s="13" t="s">
        <v>49</v>
      </c>
      <c r="BN36" s="13" t="s">
        <v>235</v>
      </c>
      <c r="BO36" s="13">
        <v>59</v>
      </c>
      <c r="BP36" s="14">
        <v>59</v>
      </c>
      <c r="BQ36" s="14" t="s">
        <v>49</v>
      </c>
      <c r="BR36" s="13">
        <v>0</v>
      </c>
      <c r="BS36" s="14">
        <v>0</v>
      </c>
      <c r="BT36" s="14">
        <v>0</v>
      </c>
      <c r="BU36" s="14">
        <v>0</v>
      </c>
      <c r="BV36" s="14" t="s">
        <v>236</v>
      </c>
      <c r="BW36" s="13" t="s">
        <v>50</v>
      </c>
      <c r="BX36" s="13" t="s">
        <v>107</v>
      </c>
      <c r="BY36" s="13">
        <v>4.3499999999999996</v>
      </c>
      <c r="BZ36" s="14">
        <v>0.86</v>
      </c>
      <c r="CA36" s="14" t="s">
        <v>52</v>
      </c>
      <c r="CB36" s="13" t="s">
        <v>54</v>
      </c>
      <c r="CC36" s="13" t="s">
        <v>237</v>
      </c>
      <c r="CD36" s="13" t="s">
        <v>54</v>
      </c>
      <c r="CE36" s="13" t="s">
        <v>110</v>
      </c>
      <c r="CF36" s="13" t="s">
        <v>56</v>
      </c>
      <c r="CG36" s="13" t="s">
        <v>130</v>
      </c>
      <c r="CH36" s="13" t="s">
        <v>238</v>
      </c>
    </row>
    <row r="37" spans="21:86" x14ac:dyDescent="0.3">
      <c r="U37" s="13" t="s">
        <v>239</v>
      </c>
      <c r="V37" s="13" t="str">
        <f>HYPERLINK("https://diamdna.azureedge.net/imaged/kk25-3/still.jpg ","Image")</f>
        <v>Image</v>
      </c>
      <c r="W37" s="13" t="str">
        <f>HYPERLINK("https://diamdna.azureedge.net/Vision360.html?d=kk25-3&amp;sr=-30&amp;s=30 ","Video")</f>
        <v>Video</v>
      </c>
      <c r="X37" s="13" t="str">
        <f>HYPERLINK("https://diamdna.azureedge.net/imaged/kk25-3/video.mp4 ","Download")</f>
        <v>Download</v>
      </c>
      <c r="Y37" s="13" t="s">
        <v>42</v>
      </c>
      <c r="Z37" s="13" t="str">
        <f>HYPERLINK("https://diamdna.azureedge.net/reports/2546320569.pdf#zoom=150 ","2546320569")</f>
        <v>2546320569</v>
      </c>
      <c r="AA37" s="13" t="s">
        <v>118</v>
      </c>
      <c r="AB37" s="13">
        <v>3.02</v>
      </c>
      <c r="AC37" s="14" t="s">
        <v>44</v>
      </c>
      <c r="AD37" s="13" t="s">
        <v>104</v>
      </c>
      <c r="AE37" s="13">
        <v>12700</v>
      </c>
      <c r="AF37" s="14">
        <v>38354</v>
      </c>
      <c r="AG37" s="14">
        <v>-38.5</v>
      </c>
      <c r="AH37" s="14">
        <v>7810.5</v>
      </c>
      <c r="AI37" s="14">
        <v>23587.71</v>
      </c>
      <c r="AJ37" s="14" t="s">
        <v>50</v>
      </c>
      <c r="AK37" s="13" t="s">
        <v>46</v>
      </c>
      <c r="AL37" s="13" t="s">
        <v>46</v>
      </c>
      <c r="AM37" s="13" t="s">
        <v>49</v>
      </c>
      <c r="AN37" s="13" t="s">
        <v>240</v>
      </c>
      <c r="AO37" s="13">
        <v>59</v>
      </c>
      <c r="AP37" s="14">
        <v>56.2</v>
      </c>
      <c r="AQ37" s="14" t="s">
        <v>49</v>
      </c>
      <c r="AR37" s="13">
        <v>0</v>
      </c>
      <c r="AS37" s="14">
        <v>0</v>
      </c>
      <c r="AT37" s="14">
        <v>0</v>
      </c>
      <c r="AU37" s="13" t="s">
        <v>239</v>
      </c>
      <c r="AV37" s="13" t="str">
        <f>HYPERLINK("https://diamdna.azureedge.net/imaged/kk25-3/still.jpg ","Image")</f>
        <v>Image</v>
      </c>
      <c r="AW37" s="13" t="str">
        <f>HYPERLINK("https://diamdna.azureedge.net/Vision360.html?d=kk25-3&amp;sr=-30&amp;s=30 ","Video")</f>
        <v>Video</v>
      </c>
      <c r="AX37" s="13" t="str">
        <f>HYPERLINK("https://diamdna.azureedge.net/imaged/kk25-3/video.mp4 ","Download")</f>
        <v>Download</v>
      </c>
      <c r="AY37" s="13" t="s">
        <v>42</v>
      </c>
      <c r="AZ37" s="13" t="str">
        <f>HYPERLINK("https://diamdna.azureedge.net/reports/2546320569.pdf#zoom=150 ","2546320569")</f>
        <v>2546320569</v>
      </c>
      <c r="BA37" s="13" t="s">
        <v>118</v>
      </c>
      <c r="BB37" s="13">
        <v>3.02</v>
      </c>
      <c r="BC37" s="14" t="s">
        <v>44</v>
      </c>
      <c r="BD37" s="13" t="s">
        <v>104</v>
      </c>
      <c r="BE37" s="13">
        <v>12700</v>
      </c>
      <c r="BF37" s="14">
        <v>38354</v>
      </c>
      <c r="BG37" s="14">
        <v>-38.5</v>
      </c>
      <c r="BH37" s="14">
        <v>7810.5</v>
      </c>
      <c r="BI37" s="14">
        <v>23587.71</v>
      </c>
      <c r="BJ37" s="14" t="s">
        <v>50</v>
      </c>
      <c r="BK37" s="13" t="s">
        <v>46</v>
      </c>
      <c r="BL37" s="13" t="s">
        <v>46</v>
      </c>
      <c r="BM37" s="13" t="s">
        <v>49</v>
      </c>
      <c r="BN37" s="13" t="s">
        <v>240</v>
      </c>
      <c r="BO37" s="13">
        <v>59</v>
      </c>
      <c r="BP37" s="14">
        <v>56.2</v>
      </c>
      <c r="BQ37" s="14" t="s">
        <v>49</v>
      </c>
      <c r="BR37" s="13">
        <v>0</v>
      </c>
      <c r="BS37" s="14">
        <v>0</v>
      </c>
      <c r="BT37" s="14">
        <v>0</v>
      </c>
      <c r="BU37" s="14">
        <v>0</v>
      </c>
      <c r="BV37" s="14" t="s">
        <v>241</v>
      </c>
      <c r="BW37" s="13" t="s">
        <v>50</v>
      </c>
      <c r="BX37" s="13" t="s">
        <v>202</v>
      </c>
      <c r="BY37" s="13">
        <v>4.3499999999999996</v>
      </c>
      <c r="BZ37" s="14">
        <v>0.86</v>
      </c>
      <c r="CA37" s="14" t="s">
        <v>52</v>
      </c>
      <c r="CB37" s="13" t="s">
        <v>54</v>
      </c>
      <c r="CC37" s="13" t="s">
        <v>129</v>
      </c>
      <c r="CD37" s="13" t="s">
        <v>54</v>
      </c>
      <c r="CE37" s="13" t="s">
        <v>110</v>
      </c>
      <c r="CF37" s="13" t="s">
        <v>56</v>
      </c>
      <c r="CG37" s="13" t="s">
        <v>130</v>
      </c>
      <c r="CH37" s="13" t="s">
        <v>238</v>
      </c>
    </row>
    <row r="38" spans="21:86" x14ac:dyDescent="0.3">
      <c r="U38" s="13" t="s">
        <v>242</v>
      </c>
      <c r="V38" s="13" t="str">
        <f>HYPERLINK("https://diamdna.azureedge.net/imaged/ky25-2/still.jpg ","Image")</f>
        <v>Image</v>
      </c>
      <c r="W38" s="13" t="str">
        <f>HYPERLINK("https://diamdna.azureedge.net/Vision360.html?d=ky25-2&amp;sr=-30&amp;s=30 ","Video")</f>
        <v>Video</v>
      </c>
      <c r="X38" s="13" t="str">
        <f>HYPERLINK("https://diamdna.azureedge.net/imaged/ky25-2/video.mp4 ","Download")</f>
        <v>Download</v>
      </c>
      <c r="Y38" s="13" t="s">
        <v>42</v>
      </c>
      <c r="Z38" s="13" t="str">
        <f>HYPERLINK("https://diamdna.azureedge.net/reports/6545216274.pdf#zoom=150 ","6545216274")</f>
        <v>6545216274</v>
      </c>
      <c r="AA38" s="13" t="s">
        <v>113</v>
      </c>
      <c r="AB38" s="13">
        <v>3.01</v>
      </c>
      <c r="AC38" s="14" t="s">
        <v>194</v>
      </c>
      <c r="AD38" s="13" t="s">
        <v>104</v>
      </c>
      <c r="AE38" s="13">
        <v>25000</v>
      </c>
      <c r="AF38" s="14">
        <v>75250</v>
      </c>
      <c r="AG38" s="14">
        <v>-48</v>
      </c>
      <c r="AH38" s="14">
        <v>13000</v>
      </c>
      <c r="AI38" s="14">
        <v>39130</v>
      </c>
      <c r="AJ38" s="14" t="s">
        <v>50</v>
      </c>
      <c r="AK38" s="13" t="s">
        <v>46</v>
      </c>
      <c r="AL38" s="13" t="s">
        <v>46</v>
      </c>
      <c r="AM38" s="13" t="s">
        <v>47</v>
      </c>
      <c r="AN38" s="13" t="s">
        <v>243</v>
      </c>
      <c r="AO38" s="13">
        <v>60</v>
      </c>
      <c r="AP38" s="14">
        <v>62.8</v>
      </c>
      <c r="AQ38" s="14" t="s">
        <v>49</v>
      </c>
      <c r="AR38" s="13">
        <v>0</v>
      </c>
      <c r="AS38" s="14">
        <v>0</v>
      </c>
      <c r="AT38" s="14">
        <v>0</v>
      </c>
      <c r="AU38" s="13" t="s">
        <v>242</v>
      </c>
      <c r="AV38" s="13" t="str">
        <f>HYPERLINK("https://diamdna.azureedge.net/imaged/ky25-2/still.jpg ","Image")</f>
        <v>Image</v>
      </c>
      <c r="AW38" s="13" t="str">
        <f>HYPERLINK("https://diamdna.azureedge.net/Vision360.html?d=ky25-2&amp;sr=-30&amp;s=30 ","Video")</f>
        <v>Video</v>
      </c>
      <c r="AX38" s="13" t="str">
        <f>HYPERLINK("https://diamdna.azureedge.net/imaged/ky25-2/video.mp4 ","Download")</f>
        <v>Download</v>
      </c>
      <c r="AY38" s="13" t="s">
        <v>42</v>
      </c>
      <c r="AZ38" s="13" t="str">
        <f>HYPERLINK("https://diamdna.azureedge.net/reports/6545216274.pdf#zoom=150 ","6545216274")</f>
        <v>6545216274</v>
      </c>
      <c r="BA38" s="13" t="s">
        <v>113</v>
      </c>
      <c r="BB38" s="13">
        <v>3.01</v>
      </c>
      <c r="BC38" s="14" t="s">
        <v>194</v>
      </c>
      <c r="BD38" s="13" t="s">
        <v>104</v>
      </c>
      <c r="BE38" s="13">
        <v>25000</v>
      </c>
      <c r="BF38" s="14">
        <v>75250</v>
      </c>
      <c r="BG38" s="14">
        <v>-48</v>
      </c>
      <c r="BH38" s="14">
        <v>13000</v>
      </c>
      <c r="BI38" s="14">
        <v>39130</v>
      </c>
      <c r="BJ38" s="14" t="s">
        <v>50</v>
      </c>
      <c r="BK38" s="13" t="s">
        <v>46</v>
      </c>
      <c r="BL38" s="13" t="s">
        <v>46</v>
      </c>
      <c r="BM38" s="13" t="s">
        <v>47</v>
      </c>
      <c r="BN38" s="13" t="s">
        <v>243</v>
      </c>
      <c r="BO38" s="13">
        <v>60</v>
      </c>
      <c r="BP38" s="14">
        <v>62.8</v>
      </c>
      <c r="BQ38" s="14" t="s">
        <v>49</v>
      </c>
      <c r="BR38" s="13">
        <v>0</v>
      </c>
      <c r="BS38" s="14">
        <v>0</v>
      </c>
      <c r="BT38" s="14">
        <v>0</v>
      </c>
      <c r="BU38" s="14">
        <v>0</v>
      </c>
      <c r="BV38" s="14" t="s">
        <v>244</v>
      </c>
      <c r="BW38" s="13" t="s">
        <v>50</v>
      </c>
      <c r="BX38" s="13" t="s">
        <v>202</v>
      </c>
      <c r="BY38" s="13">
        <v>4.3499999999999996</v>
      </c>
      <c r="BZ38" s="14">
        <v>1.4</v>
      </c>
      <c r="CA38" s="14" t="s">
        <v>197</v>
      </c>
      <c r="CB38" s="13" t="s">
        <v>54</v>
      </c>
      <c r="CC38" s="13" t="s">
        <v>129</v>
      </c>
      <c r="CD38" s="13" t="s">
        <v>54</v>
      </c>
      <c r="CE38" s="13" t="s">
        <v>100</v>
      </c>
      <c r="CF38" s="13" t="s">
        <v>56</v>
      </c>
      <c r="CG38" s="13" t="s">
        <v>65</v>
      </c>
      <c r="CH38" s="13" t="s">
        <v>245</v>
      </c>
    </row>
    <row r="39" spans="21:86" x14ac:dyDescent="0.3">
      <c r="U39" s="13" t="s">
        <v>246</v>
      </c>
      <c r="V39" s="16"/>
      <c r="W39" s="16"/>
      <c r="X39" s="16"/>
      <c r="Y39" s="13" t="s">
        <v>42</v>
      </c>
      <c r="Z39" s="13" t="str">
        <f>HYPERLINK("https://diamdna.azureedge.net/reports/2235690025.pdf#zoom=150 ","2235690025")</f>
        <v>2235690025</v>
      </c>
      <c r="AA39" s="13" t="s">
        <v>113</v>
      </c>
      <c r="AB39" s="13">
        <v>2.5</v>
      </c>
      <c r="AC39" s="14" t="s">
        <v>69</v>
      </c>
      <c r="AD39" s="13" t="s">
        <v>133</v>
      </c>
      <c r="AE39" s="13">
        <v>8500</v>
      </c>
      <c r="AF39" s="14">
        <v>21250</v>
      </c>
      <c r="AG39" s="14">
        <v>-18</v>
      </c>
      <c r="AH39" s="14">
        <v>6970</v>
      </c>
      <c r="AI39" s="14">
        <v>17425</v>
      </c>
      <c r="AJ39" s="14" t="s">
        <v>50</v>
      </c>
      <c r="AK39" s="13" t="s">
        <v>46</v>
      </c>
      <c r="AL39" s="13" t="s">
        <v>120</v>
      </c>
      <c r="AM39" s="13" t="s">
        <v>49</v>
      </c>
      <c r="AN39" s="13" t="s">
        <v>247</v>
      </c>
      <c r="AO39" s="13">
        <v>60</v>
      </c>
      <c r="AP39" s="14">
        <v>64.900000000000006</v>
      </c>
      <c r="AQ39" s="14" t="s">
        <v>49</v>
      </c>
      <c r="AR39" s="13">
        <v>39.270000000000003</v>
      </c>
      <c r="AS39" s="14">
        <v>15.5</v>
      </c>
      <c r="AT39" s="14">
        <v>40.590000000000003</v>
      </c>
      <c r="AU39" s="13" t="s">
        <v>246</v>
      </c>
      <c r="AV39" s="16"/>
      <c r="AW39" s="16"/>
      <c r="AX39" s="16"/>
      <c r="AY39" s="13" t="s">
        <v>42</v>
      </c>
      <c r="AZ39" s="13" t="str">
        <f>HYPERLINK("https://diamdna.azureedge.net/reports/2235690025.pdf#zoom=150 ","2235690025")</f>
        <v>2235690025</v>
      </c>
      <c r="BA39" s="13" t="s">
        <v>113</v>
      </c>
      <c r="BB39" s="13">
        <v>2.5</v>
      </c>
      <c r="BC39" s="14" t="s">
        <v>69</v>
      </c>
      <c r="BD39" s="13" t="s">
        <v>133</v>
      </c>
      <c r="BE39" s="13">
        <v>8500</v>
      </c>
      <c r="BF39" s="14">
        <v>21250</v>
      </c>
      <c r="BG39" s="14">
        <v>-18</v>
      </c>
      <c r="BH39" s="14">
        <v>6970</v>
      </c>
      <c r="BI39" s="14">
        <v>17425</v>
      </c>
      <c r="BJ39" s="14" t="s">
        <v>50</v>
      </c>
      <c r="BK39" s="13" t="s">
        <v>46</v>
      </c>
      <c r="BL39" s="13" t="s">
        <v>120</v>
      </c>
      <c r="BM39" s="13" t="s">
        <v>49</v>
      </c>
      <c r="BN39" s="13" t="s">
        <v>247</v>
      </c>
      <c r="BO39" s="13">
        <v>60</v>
      </c>
      <c r="BP39" s="14">
        <v>64.900000000000006</v>
      </c>
      <c r="BQ39" s="14" t="s">
        <v>49</v>
      </c>
      <c r="BR39" s="13">
        <v>39.270000000000003</v>
      </c>
      <c r="BS39" s="14">
        <v>15.5</v>
      </c>
      <c r="BT39" s="14">
        <v>40.590000000000003</v>
      </c>
      <c r="BU39" s="14">
        <v>43.62</v>
      </c>
      <c r="BV39" s="14" t="s">
        <v>248</v>
      </c>
      <c r="BW39" s="13" t="s">
        <v>50</v>
      </c>
      <c r="BX39" s="13" t="s">
        <v>202</v>
      </c>
      <c r="BY39" s="13">
        <v>0</v>
      </c>
      <c r="BZ39" s="14">
        <v>1.5</v>
      </c>
      <c r="CA39" s="14" t="s">
        <v>197</v>
      </c>
      <c r="CB39" s="13" t="s">
        <v>54</v>
      </c>
      <c r="CC39" s="13"/>
      <c r="CD39" s="13" t="s">
        <v>54</v>
      </c>
      <c r="CE39" s="13" t="s">
        <v>93</v>
      </c>
      <c r="CF39" s="13" t="s">
        <v>56</v>
      </c>
      <c r="CG39" s="13" t="s">
        <v>57</v>
      </c>
      <c r="CH39" s="13" t="s">
        <v>249</v>
      </c>
    </row>
    <row r="40" spans="21:86" x14ac:dyDescent="0.3">
      <c r="U40" s="13" t="s">
        <v>250</v>
      </c>
      <c r="V40" s="13" t="str">
        <f>HYPERLINK("https://diamdna.azureedge.net/imaged/mk26-8/still.jpg ","Image")</f>
        <v>Image</v>
      </c>
      <c r="W40" s="13" t="str">
        <f>HYPERLINK("https://diamdna.azureedge.net/Vision360.html?d=mk26-8&amp;sr=-30&amp;s=30 ","Video")</f>
        <v>Video</v>
      </c>
      <c r="X40" s="13" t="str">
        <f>HYPERLINK("https://diamdna.azureedge.net/imaged/mk26-8/video.mp4 ","Download")</f>
        <v>Download</v>
      </c>
      <c r="Y40" s="13" t="s">
        <v>42</v>
      </c>
      <c r="Z40" s="13" t="str">
        <f>HYPERLINK("https://diamdna.azureedge.net/reports/6541670742.pdf#zoom=150 ","6541670742")</f>
        <v>6541670742</v>
      </c>
      <c r="AA40" s="13" t="s">
        <v>214</v>
      </c>
      <c r="AB40" s="13">
        <v>2.48</v>
      </c>
      <c r="AC40" s="14" t="s">
        <v>205</v>
      </c>
      <c r="AD40" s="13" t="s">
        <v>60</v>
      </c>
      <c r="AE40" s="13">
        <v>4100</v>
      </c>
      <c r="AF40" s="14">
        <v>10168</v>
      </c>
      <c r="AG40" s="14">
        <v>-61</v>
      </c>
      <c r="AH40" s="14">
        <v>1599</v>
      </c>
      <c r="AI40" s="14">
        <v>3965.52</v>
      </c>
      <c r="AJ40" s="14" t="s">
        <v>50</v>
      </c>
      <c r="AK40" s="13" t="s">
        <v>46</v>
      </c>
      <c r="AL40" s="13" t="s">
        <v>46</v>
      </c>
      <c r="AM40" s="13" t="s">
        <v>49</v>
      </c>
      <c r="AN40" s="13" t="s">
        <v>251</v>
      </c>
      <c r="AO40" s="13">
        <v>61</v>
      </c>
      <c r="AP40" s="14">
        <v>35.299999999999997</v>
      </c>
      <c r="AQ40" s="14" t="s">
        <v>49</v>
      </c>
      <c r="AR40" s="13">
        <v>0</v>
      </c>
      <c r="AS40" s="14">
        <v>0</v>
      </c>
      <c r="AT40" s="14">
        <v>0</v>
      </c>
      <c r="AU40" s="13" t="s">
        <v>250</v>
      </c>
      <c r="AV40" s="13" t="str">
        <f>HYPERLINK("https://diamdna.azureedge.net/imaged/mk26-8/still.jpg ","Image")</f>
        <v>Image</v>
      </c>
      <c r="AW40" s="13" t="str">
        <f>HYPERLINK("https://diamdna.azureedge.net/Vision360.html?d=mk26-8&amp;sr=-30&amp;s=30 ","Video")</f>
        <v>Video</v>
      </c>
      <c r="AX40" s="13" t="str">
        <f>HYPERLINK("https://diamdna.azureedge.net/imaged/mk26-8/video.mp4 ","Download")</f>
        <v>Download</v>
      </c>
      <c r="AY40" s="13" t="s">
        <v>42</v>
      </c>
      <c r="AZ40" s="13" t="str">
        <f>HYPERLINK("https://diamdna.azureedge.net/reports/6541670742.pdf#zoom=150 ","6541670742")</f>
        <v>6541670742</v>
      </c>
      <c r="BA40" s="13" t="s">
        <v>214</v>
      </c>
      <c r="BB40" s="13">
        <v>2.48</v>
      </c>
      <c r="BC40" s="14" t="s">
        <v>205</v>
      </c>
      <c r="BD40" s="13" t="s">
        <v>60</v>
      </c>
      <c r="BE40" s="13">
        <v>4100</v>
      </c>
      <c r="BF40" s="14">
        <v>10168</v>
      </c>
      <c r="BG40" s="14">
        <v>-61</v>
      </c>
      <c r="BH40" s="14">
        <v>1599</v>
      </c>
      <c r="BI40" s="14">
        <v>3965.52</v>
      </c>
      <c r="BJ40" s="14" t="s">
        <v>50</v>
      </c>
      <c r="BK40" s="13" t="s">
        <v>46</v>
      </c>
      <c r="BL40" s="13" t="s">
        <v>46</v>
      </c>
      <c r="BM40" s="13" t="s">
        <v>49</v>
      </c>
      <c r="BN40" s="13" t="s">
        <v>251</v>
      </c>
      <c r="BO40" s="13">
        <v>61</v>
      </c>
      <c r="BP40" s="14">
        <v>35.299999999999997</v>
      </c>
      <c r="BQ40" s="14" t="s">
        <v>49</v>
      </c>
      <c r="BR40" s="13">
        <v>0</v>
      </c>
      <c r="BS40" s="14">
        <v>0</v>
      </c>
      <c r="BT40" s="14">
        <v>0</v>
      </c>
      <c r="BU40" s="14">
        <v>0</v>
      </c>
      <c r="BV40" s="14" t="s">
        <v>252</v>
      </c>
      <c r="BW40" s="13" t="s">
        <v>50</v>
      </c>
      <c r="BX40" s="13" t="s">
        <v>253</v>
      </c>
      <c r="BY40" s="13">
        <v>0</v>
      </c>
      <c r="BZ40" s="14">
        <v>1.1499999999999999</v>
      </c>
      <c r="CA40" s="14" t="s">
        <v>197</v>
      </c>
      <c r="CB40" s="13" t="s">
        <v>54</v>
      </c>
      <c r="CC40" s="13" t="s">
        <v>254</v>
      </c>
      <c r="CD40" s="13" t="s">
        <v>54</v>
      </c>
      <c r="CE40" s="13" t="s">
        <v>143</v>
      </c>
      <c r="CF40" s="13" t="s">
        <v>56</v>
      </c>
      <c r="CG40" s="13" t="s">
        <v>57</v>
      </c>
      <c r="CH40" s="13" t="s">
        <v>58</v>
      </c>
    </row>
    <row r="41" spans="21:86" x14ac:dyDescent="0.3">
      <c r="U41" s="13" t="s">
        <v>255</v>
      </c>
      <c r="V41" s="13" t="str">
        <f>HYPERLINK("https://diamdna.azureedge.net/imaged/la25-35/still.jpg ","Image")</f>
        <v>Image</v>
      </c>
      <c r="W41" s="13" t="str">
        <f>HYPERLINK("https://diamdna.azureedge.net/Vision360.html?d=la25-35&amp;sr=-30&amp;s=30 ","Video")</f>
        <v>Video</v>
      </c>
      <c r="X41" s="13" t="str">
        <f>HYPERLINK("https://diamdna.azureedge.net/imaged/la25-35/video.mp4 ","Download")</f>
        <v>Download</v>
      </c>
      <c r="Y41" s="13" t="s">
        <v>42</v>
      </c>
      <c r="Z41" s="13" t="str">
        <f>HYPERLINK("https://diamdna.azureedge.net/reports/7541585278.pdf#zoom=150 ","7541585278")</f>
        <v>7541585278</v>
      </c>
      <c r="AA41" s="13" t="s">
        <v>146</v>
      </c>
      <c r="AB41" s="13">
        <v>2.3199999999999998</v>
      </c>
      <c r="AC41" s="14" t="s">
        <v>119</v>
      </c>
      <c r="AD41" s="13" t="s">
        <v>60</v>
      </c>
      <c r="AE41" s="13">
        <v>8200</v>
      </c>
      <c r="AF41" s="14">
        <v>19024</v>
      </c>
      <c r="AG41" s="14">
        <v>-30.5</v>
      </c>
      <c r="AH41" s="14">
        <v>5699</v>
      </c>
      <c r="AI41" s="14">
        <v>13221.68</v>
      </c>
      <c r="AJ41" s="14" t="s">
        <v>50</v>
      </c>
      <c r="AK41" s="13" t="s">
        <v>46</v>
      </c>
      <c r="AL41" s="13" t="s">
        <v>46</v>
      </c>
      <c r="AM41" s="13" t="s">
        <v>47</v>
      </c>
      <c r="AN41" s="13" t="s">
        <v>256</v>
      </c>
      <c r="AO41" s="13">
        <v>61</v>
      </c>
      <c r="AP41" s="14">
        <v>63.3</v>
      </c>
      <c r="AQ41" s="14" t="s">
        <v>49</v>
      </c>
      <c r="AR41" s="13">
        <v>0</v>
      </c>
      <c r="AS41" s="14">
        <v>0</v>
      </c>
      <c r="AT41" s="14">
        <v>0</v>
      </c>
      <c r="AU41" s="13" t="s">
        <v>255</v>
      </c>
      <c r="AV41" s="13" t="str">
        <f>HYPERLINK("https://diamdna.azureedge.net/imaged/la25-35/still.jpg ","Image")</f>
        <v>Image</v>
      </c>
      <c r="AW41" s="13" t="str">
        <f>HYPERLINK("https://diamdna.azureedge.net/Vision360.html?d=la25-35&amp;sr=-30&amp;s=30 ","Video")</f>
        <v>Video</v>
      </c>
      <c r="AX41" s="13" t="str">
        <f>HYPERLINK("https://diamdna.azureedge.net/imaged/la25-35/video.mp4 ","Download")</f>
        <v>Download</v>
      </c>
      <c r="AY41" s="13" t="s">
        <v>42</v>
      </c>
      <c r="AZ41" s="13" t="str">
        <f>HYPERLINK("https://diamdna.azureedge.net/reports/7541585278.pdf#zoom=150 ","7541585278")</f>
        <v>7541585278</v>
      </c>
      <c r="BA41" s="13" t="s">
        <v>146</v>
      </c>
      <c r="BB41" s="13">
        <v>2.3199999999999998</v>
      </c>
      <c r="BC41" s="14" t="s">
        <v>119</v>
      </c>
      <c r="BD41" s="13" t="s">
        <v>60</v>
      </c>
      <c r="BE41" s="13">
        <v>8200</v>
      </c>
      <c r="BF41" s="14">
        <v>19024</v>
      </c>
      <c r="BG41" s="14">
        <v>-30.5</v>
      </c>
      <c r="BH41" s="14">
        <v>5699</v>
      </c>
      <c r="BI41" s="14">
        <v>13221.68</v>
      </c>
      <c r="BJ41" s="14" t="s">
        <v>50</v>
      </c>
      <c r="BK41" s="13" t="s">
        <v>46</v>
      </c>
      <c r="BL41" s="13" t="s">
        <v>46</v>
      </c>
      <c r="BM41" s="13" t="s">
        <v>47</v>
      </c>
      <c r="BN41" s="13" t="s">
        <v>256</v>
      </c>
      <c r="BO41" s="13">
        <v>61</v>
      </c>
      <c r="BP41" s="14">
        <v>63.3</v>
      </c>
      <c r="BQ41" s="14" t="s">
        <v>49</v>
      </c>
      <c r="BR41" s="13">
        <v>0</v>
      </c>
      <c r="BS41" s="14">
        <v>0</v>
      </c>
      <c r="BT41" s="14">
        <v>0</v>
      </c>
      <c r="BU41" s="14">
        <v>0</v>
      </c>
      <c r="BV41" s="14" t="s">
        <v>257</v>
      </c>
      <c r="BW41" s="13" t="s">
        <v>50</v>
      </c>
      <c r="BX41" s="13" t="s">
        <v>72</v>
      </c>
      <c r="BY41" s="13">
        <v>3.6</v>
      </c>
      <c r="BZ41" s="14">
        <v>1.59</v>
      </c>
      <c r="CA41" s="14" t="s">
        <v>108</v>
      </c>
      <c r="CB41" s="13" t="s">
        <v>54</v>
      </c>
      <c r="CC41" s="13" t="s">
        <v>258</v>
      </c>
      <c r="CD41" s="13" t="s">
        <v>54</v>
      </c>
      <c r="CE41" s="13" t="s">
        <v>110</v>
      </c>
      <c r="CF41" s="13" t="s">
        <v>56</v>
      </c>
      <c r="CG41" s="13" t="s">
        <v>57</v>
      </c>
      <c r="CH41" s="13" t="s">
        <v>259</v>
      </c>
    </row>
    <row r="42" spans="21:86" x14ac:dyDescent="0.3">
      <c r="U42" s="13" t="s">
        <v>260</v>
      </c>
      <c r="V42" s="13" t="str">
        <f>HYPERLINK("https://diamdna.azureedge.net/imaged/yg-69/still.jpg ","Image")</f>
        <v>Image</v>
      </c>
      <c r="W42" s="13" t="str">
        <f>HYPERLINK("https://diamdna.azureedge.net/Vision360.html?d=yg-69&amp;sr=-30&amp;s=30 ","Video")</f>
        <v>Video</v>
      </c>
      <c r="X42" s="13" t="str">
        <f>HYPERLINK("https://diamdna.azureedge.net/imaged/yg-69/video.mp4 ","Download")</f>
        <v>Download</v>
      </c>
      <c r="Y42" s="13" t="s">
        <v>163</v>
      </c>
      <c r="Z42" s="13" t="str">
        <f>HYPERLINK("https://diamdna.azureedge.net/reports/240000124138.pdf#zoom=150 ","240000124138")</f>
        <v>240000124138</v>
      </c>
      <c r="AA42" s="13" t="s">
        <v>43</v>
      </c>
      <c r="AB42" s="13">
        <v>2.31</v>
      </c>
      <c r="AC42" s="14" t="s">
        <v>194</v>
      </c>
      <c r="AD42" s="13" t="s">
        <v>261</v>
      </c>
      <c r="AE42" s="13">
        <v>7200</v>
      </c>
      <c r="AF42" s="14">
        <v>16632</v>
      </c>
      <c r="AG42" s="14">
        <v>-77</v>
      </c>
      <c r="AH42" s="14">
        <v>1656</v>
      </c>
      <c r="AI42" s="14">
        <v>3825.36</v>
      </c>
      <c r="AJ42" s="14" t="s">
        <v>46</v>
      </c>
      <c r="AK42" s="13" t="s">
        <v>46</v>
      </c>
      <c r="AL42" s="13" t="s">
        <v>46</v>
      </c>
      <c r="AM42" s="13" t="s">
        <v>49</v>
      </c>
      <c r="AN42" s="13" t="s">
        <v>262</v>
      </c>
      <c r="AO42" s="13">
        <v>55</v>
      </c>
      <c r="AP42" s="14">
        <v>62.8</v>
      </c>
      <c r="AQ42" s="14" t="s">
        <v>165</v>
      </c>
      <c r="AR42" s="13">
        <v>34.4</v>
      </c>
      <c r="AS42" s="14">
        <v>15.5</v>
      </c>
      <c r="AT42" s="14">
        <v>41.2</v>
      </c>
      <c r="AU42" s="13" t="s">
        <v>260</v>
      </c>
      <c r="AV42" s="13" t="str">
        <f>HYPERLINK("https://diamdna.azureedge.net/imaged/yg-69/still.jpg ","Image")</f>
        <v>Image</v>
      </c>
      <c r="AW42" s="13" t="str">
        <f>HYPERLINK("https://diamdna.azureedge.net/Vision360.html?d=yg-69&amp;sr=-30&amp;s=30 ","Video")</f>
        <v>Video</v>
      </c>
      <c r="AX42" s="13" t="str">
        <f>HYPERLINK("https://diamdna.azureedge.net/imaged/yg-69/video.mp4 ","Download")</f>
        <v>Download</v>
      </c>
      <c r="AY42" s="13" t="s">
        <v>163</v>
      </c>
      <c r="AZ42" s="13" t="str">
        <f>HYPERLINK("https://diamdna.azureedge.net/reports/240000124138.pdf#zoom=150 ","240000124138")</f>
        <v>240000124138</v>
      </c>
      <c r="BA42" s="13" t="s">
        <v>43</v>
      </c>
      <c r="BB42" s="13">
        <v>2.31</v>
      </c>
      <c r="BC42" s="14" t="s">
        <v>194</v>
      </c>
      <c r="BD42" s="13" t="s">
        <v>261</v>
      </c>
      <c r="BE42" s="13">
        <v>7200</v>
      </c>
      <c r="BF42" s="14">
        <v>16632</v>
      </c>
      <c r="BG42" s="14">
        <v>-77</v>
      </c>
      <c r="BH42" s="14">
        <v>1656</v>
      </c>
      <c r="BI42" s="14">
        <v>3825.36</v>
      </c>
      <c r="BJ42" s="14" t="s">
        <v>46</v>
      </c>
      <c r="BK42" s="13" t="s">
        <v>46</v>
      </c>
      <c r="BL42" s="13" t="s">
        <v>46</v>
      </c>
      <c r="BM42" s="13" t="s">
        <v>49</v>
      </c>
      <c r="BN42" s="13" t="s">
        <v>262</v>
      </c>
      <c r="BO42" s="13">
        <v>55</v>
      </c>
      <c r="BP42" s="14">
        <v>62.8</v>
      </c>
      <c r="BQ42" s="14" t="s">
        <v>165</v>
      </c>
      <c r="BR42" s="13">
        <v>34.4</v>
      </c>
      <c r="BS42" s="14">
        <v>15.5</v>
      </c>
      <c r="BT42" s="14">
        <v>41.2</v>
      </c>
      <c r="BU42" s="14">
        <v>44</v>
      </c>
      <c r="BV42" s="14"/>
      <c r="BW42" s="13" t="s">
        <v>50</v>
      </c>
      <c r="BX42" s="13" t="s">
        <v>142</v>
      </c>
      <c r="BY42" s="13">
        <v>3.5</v>
      </c>
      <c r="BZ42" s="14">
        <v>1.01</v>
      </c>
      <c r="CA42" s="14" t="s">
        <v>99</v>
      </c>
      <c r="CB42" s="13" t="s">
        <v>53</v>
      </c>
      <c r="CC42" s="13"/>
      <c r="CD42" s="13" t="s">
        <v>54</v>
      </c>
      <c r="CE42" s="13" t="s">
        <v>93</v>
      </c>
      <c r="CF42" s="13" t="s">
        <v>263</v>
      </c>
      <c r="CG42" s="13" t="s">
        <v>57</v>
      </c>
      <c r="CH42" s="13" t="s">
        <v>264</v>
      </c>
    </row>
    <row r="43" spans="21:86" x14ac:dyDescent="0.3">
      <c r="U43" s="13" t="s">
        <v>265</v>
      </c>
      <c r="V43" s="13" t="str">
        <f>HYPERLINK("https://diamdna.azureedge.net/imaged/nb26-79/still.jpg ","Image")</f>
        <v>Image</v>
      </c>
      <c r="W43" s="13" t="str">
        <f>HYPERLINK("https://diamdna.azureedge.net/Vision360.html?d=nb26-79&amp;sr=-30&amp;s=30 ","Video")</f>
        <v>Video</v>
      </c>
      <c r="X43" s="13" t="str">
        <f>HYPERLINK("https://diamdna.azureedge.net/imaged/nb26-79/video.mp4 ","Download")</f>
        <v>Download</v>
      </c>
      <c r="Y43" s="13" t="s">
        <v>76</v>
      </c>
      <c r="Z43" s="13" t="s">
        <v>266</v>
      </c>
      <c r="AA43" s="13" t="s">
        <v>113</v>
      </c>
      <c r="AB43" s="13">
        <v>2.2999999999999998</v>
      </c>
      <c r="AC43" s="14" t="s">
        <v>69</v>
      </c>
      <c r="AD43" s="13" t="s">
        <v>125</v>
      </c>
      <c r="AE43" s="13">
        <v>9900</v>
      </c>
      <c r="AF43" s="14">
        <v>22770</v>
      </c>
      <c r="AG43" s="14">
        <v>-45</v>
      </c>
      <c r="AH43" s="14">
        <v>5445</v>
      </c>
      <c r="AI43" s="14">
        <v>12523.5</v>
      </c>
      <c r="AJ43" s="14" t="s">
        <v>50</v>
      </c>
      <c r="AK43" s="13" t="s">
        <v>46</v>
      </c>
      <c r="AL43" s="13" t="s">
        <v>46</v>
      </c>
      <c r="AM43" s="13" t="s">
        <v>49</v>
      </c>
      <c r="AN43" s="13" t="s">
        <v>267</v>
      </c>
      <c r="AO43" s="13">
        <v>57</v>
      </c>
      <c r="AP43" s="14">
        <v>65.2</v>
      </c>
      <c r="AQ43" s="14" t="s">
        <v>80</v>
      </c>
      <c r="AR43" s="13">
        <v>38.6</v>
      </c>
      <c r="AS43" s="14">
        <v>16.5</v>
      </c>
      <c r="AT43" s="14">
        <v>37.799999999999997</v>
      </c>
      <c r="AU43" s="13" t="s">
        <v>265</v>
      </c>
      <c r="AV43" s="13" t="str">
        <f>HYPERLINK("https://diamdna.azureedge.net/imaged/nb26-79/still.jpg ","Image")</f>
        <v>Image</v>
      </c>
      <c r="AW43" s="13" t="str">
        <f>HYPERLINK("https://diamdna.azureedge.net/Vision360.html?d=nb26-79&amp;sr=-30&amp;s=30 ","Video")</f>
        <v>Video</v>
      </c>
      <c r="AX43" s="13" t="str">
        <f>HYPERLINK("https://diamdna.azureedge.net/imaged/nb26-79/video.mp4 ","Download")</f>
        <v>Download</v>
      </c>
      <c r="AY43" s="13" t="s">
        <v>76</v>
      </c>
      <c r="AZ43" s="13" t="s">
        <v>266</v>
      </c>
      <c r="BA43" s="13" t="s">
        <v>113</v>
      </c>
      <c r="BB43" s="13">
        <v>2.2999999999999998</v>
      </c>
      <c r="BC43" s="14" t="s">
        <v>69</v>
      </c>
      <c r="BD43" s="13" t="s">
        <v>125</v>
      </c>
      <c r="BE43" s="13">
        <v>9900</v>
      </c>
      <c r="BF43" s="14">
        <v>22770</v>
      </c>
      <c r="BG43" s="14">
        <v>-45</v>
      </c>
      <c r="BH43" s="14">
        <v>5445</v>
      </c>
      <c r="BI43" s="14">
        <v>12523.5</v>
      </c>
      <c r="BJ43" s="14" t="s">
        <v>50</v>
      </c>
      <c r="BK43" s="13" t="s">
        <v>46</v>
      </c>
      <c r="BL43" s="13" t="s">
        <v>46</v>
      </c>
      <c r="BM43" s="13" t="s">
        <v>49</v>
      </c>
      <c r="BN43" s="13" t="s">
        <v>267</v>
      </c>
      <c r="BO43" s="13">
        <v>57</v>
      </c>
      <c r="BP43" s="14">
        <v>65.2</v>
      </c>
      <c r="BQ43" s="14" t="s">
        <v>80</v>
      </c>
      <c r="BR43" s="13">
        <v>38.6</v>
      </c>
      <c r="BS43" s="14">
        <v>16.5</v>
      </c>
      <c r="BT43" s="14">
        <v>37.799999999999997</v>
      </c>
      <c r="BU43" s="14">
        <v>43</v>
      </c>
      <c r="BV43" s="14"/>
      <c r="BW43" s="13" t="s">
        <v>50</v>
      </c>
      <c r="BX43" s="13" t="s">
        <v>177</v>
      </c>
      <c r="BY43" s="13">
        <v>5.6</v>
      </c>
      <c r="BZ43" s="14">
        <v>1.4</v>
      </c>
      <c r="CA43" s="14" t="s">
        <v>52</v>
      </c>
      <c r="CB43" s="13" t="s">
        <v>54</v>
      </c>
      <c r="CC43" s="13" t="s">
        <v>82</v>
      </c>
      <c r="CD43" s="13" t="s">
        <v>54</v>
      </c>
      <c r="CE43" s="13" t="s">
        <v>110</v>
      </c>
      <c r="CF43" s="13" t="s">
        <v>56</v>
      </c>
      <c r="CG43" s="13" t="s">
        <v>57</v>
      </c>
      <c r="CH43" s="13" t="s">
        <v>268</v>
      </c>
    </row>
    <row r="44" spans="21:86" x14ac:dyDescent="0.3">
      <c r="U44" s="13" t="s">
        <v>269</v>
      </c>
      <c r="V44" s="13" t="str">
        <f>HYPERLINK("https://diamdna.azureedge.net/imaged/kd25-39/still.jpg ","Image")</f>
        <v>Image</v>
      </c>
      <c r="W44" s="13" t="str">
        <f>HYPERLINK("https://diamdna.azureedge.net/Vision360.html?d=kd25-39&amp;sr=-30&amp;s=30 ","Video")</f>
        <v>Video</v>
      </c>
      <c r="X44" s="13" t="str">
        <f>HYPERLINK("https://diamdna.azureedge.net/imaged/kd25-39/video.mp4 ","Download")</f>
        <v>Download</v>
      </c>
      <c r="Y44" s="13" t="s">
        <v>42</v>
      </c>
      <c r="Z44" s="13" t="str">
        <f>HYPERLINK("https://diamdna.azureedge.net/reports/6542320181.pdf#zoom=150 ","6542320181")</f>
        <v>6542320181</v>
      </c>
      <c r="AA44" s="13" t="s">
        <v>214</v>
      </c>
      <c r="AB44" s="13">
        <v>2.2599999999999998</v>
      </c>
      <c r="AC44" s="14" t="s">
        <v>96</v>
      </c>
      <c r="AD44" s="13" t="s">
        <v>60</v>
      </c>
      <c r="AE44" s="13">
        <v>9600</v>
      </c>
      <c r="AF44" s="14">
        <v>21695.999999999996</v>
      </c>
      <c r="AG44" s="14">
        <v>-55</v>
      </c>
      <c r="AH44" s="14">
        <v>4320</v>
      </c>
      <c r="AI44" s="14">
        <v>9763.2000000000007</v>
      </c>
      <c r="AJ44" s="14" t="s">
        <v>50</v>
      </c>
      <c r="AK44" s="13" t="s">
        <v>46</v>
      </c>
      <c r="AL44" s="13" t="s">
        <v>46</v>
      </c>
      <c r="AM44" s="13" t="s">
        <v>49</v>
      </c>
      <c r="AN44" s="13" t="s">
        <v>270</v>
      </c>
      <c r="AO44" s="13">
        <v>65</v>
      </c>
      <c r="AP44" s="14">
        <v>30.1</v>
      </c>
      <c r="AQ44" s="14" t="s">
        <v>49</v>
      </c>
      <c r="AR44" s="13">
        <v>0</v>
      </c>
      <c r="AS44" s="14">
        <v>0</v>
      </c>
      <c r="AT44" s="14">
        <v>0</v>
      </c>
      <c r="AU44" s="13" t="s">
        <v>269</v>
      </c>
      <c r="AV44" s="13" t="str">
        <f>HYPERLINK("https://diamdna.azureedge.net/imaged/kd25-39/still.jpg ","Image")</f>
        <v>Image</v>
      </c>
      <c r="AW44" s="13" t="str">
        <f>HYPERLINK("https://diamdna.azureedge.net/Vision360.html?d=kd25-39&amp;sr=-30&amp;s=30 ","Video")</f>
        <v>Video</v>
      </c>
      <c r="AX44" s="13" t="str">
        <f>HYPERLINK("https://diamdna.azureedge.net/imaged/kd25-39/video.mp4 ","Download")</f>
        <v>Download</v>
      </c>
      <c r="AY44" s="13" t="s">
        <v>42</v>
      </c>
      <c r="AZ44" s="13" t="str">
        <f>HYPERLINK("https://diamdna.azureedge.net/reports/6542320181.pdf#zoom=150 ","6542320181")</f>
        <v>6542320181</v>
      </c>
      <c r="BA44" s="13" t="s">
        <v>214</v>
      </c>
      <c r="BB44" s="13">
        <v>2.2599999999999998</v>
      </c>
      <c r="BC44" s="14" t="s">
        <v>96</v>
      </c>
      <c r="BD44" s="13" t="s">
        <v>60</v>
      </c>
      <c r="BE44" s="13">
        <v>9600</v>
      </c>
      <c r="BF44" s="14">
        <v>21695.999999999996</v>
      </c>
      <c r="BG44" s="14">
        <v>-55</v>
      </c>
      <c r="BH44" s="14">
        <v>4320</v>
      </c>
      <c r="BI44" s="14">
        <v>9763.2000000000007</v>
      </c>
      <c r="BJ44" s="14" t="s">
        <v>50</v>
      </c>
      <c r="BK44" s="13" t="s">
        <v>46</v>
      </c>
      <c r="BL44" s="13" t="s">
        <v>46</v>
      </c>
      <c r="BM44" s="13" t="s">
        <v>49</v>
      </c>
      <c r="BN44" s="13" t="s">
        <v>270</v>
      </c>
      <c r="BO44" s="13">
        <v>65</v>
      </c>
      <c r="BP44" s="14">
        <v>30.1</v>
      </c>
      <c r="BQ44" s="14" t="s">
        <v>49</v>
      </c>
      <c r="BR44" s="13">
        <v>0</v>
      </c>
      <c r="BS44" s="14">
        <v>0</v>
      </c>
      <c r="BT44" s="14">
        <v>0</v>
      </c>
      <c r="BU44" s="14">
        <v>0</v>
      </c>
      <c r="BV44" s="14" t="s">
        <v>271</v>
      </c>
      <c r="BW44" s="13" t="s">
        <v>50</v>
      </c>
      <c r="BX44" s="13" t="s">
        <v>72</v>
      </c>
      <c r="BY44" s="13">
        <v>0</v>
      </c>
      <c r="BZ44" s="14">
        <v>1.2</v>
      </c>
      <c r="CA44" s="14" t="s">
        <v>108</v>
      </c>
      <c r="CB44" s="13" t="s">
        <v>54</v>
      </c>
      <c r="CC44" s="13" t="s">
        <v>254</v>
      </c>
      <c r="CD44" s="13" t="s">
        <v>54</v>
      </c>
      <c r="CE44" s="13" t="s">
        <v>143</v>
      </c>
      <c r="CF44" s="13" t="s">
        <v>56</v>
      </c>
      <c r="CG44" s="13" t="s">
        <v>57</v>
      </c>
      <c r="CH44" s="13" t="s">
        <v>218</v>
      </c>
    </row>
    <row r="45" spans="21:86" x14ac:dyDescent="0.3">
      <c r="U45" s="13" t="s">
        <v>272</v>
      </c>
      <c r="V45" s="13" t="str">
        <f>HYPERLINK("https://diamdna.azureedge.net/imaged/mk26-6/still.jpg ","Image")</f>
        <v>Image</v>
      </c>
      <c r="W45" s="13" t="str">
        <f>HYPERLINK("https://diamdna.azureedge.net/Vision360.html?d=mk26-6&amp;sr=-30&amp;s=30 ","Video")</f>
        <v>Video</v>
      </c>
      <c r="X45" s="13" t="str">
        <f>HYPERLINK("https://diamdna.azureedge.net/imaged/mk26-6/video.mp4 ","Download")</f>
        <v>Download</v>
      </c>
      <c r="Y45" s="13" t="s">
        <v>42</v>
      </c>
      <c r="Z45" s="13" t="str">
        <f>HYPERLINK("https://diamdna.azureedge.net/reports/7541670726.pdf#zoom=150 ","7541670726")</f>
        <v>7541670726</v>
      </c>
      <c r="AA45" s="13" t="s">
        <v>214</v>
      </c>
      <c r="AB45" s="13">
        <v>2.16</v>
      </c>
      <c r="AC45" s="14" t="s">
        <v>69</v>
      </c>
      <c r="AD45" s="13" t="s">
        <v>60</v>
      </c>
      <c r="AE45" s="13">
        <v>7500</v>
      </c>
      <c r="AF45" s="14">
        <v>16200.000000000002</v>
      </c>
      <c r="AG45" s="14">
        <v>-65</v>
      </c>
      <c r="AH45" s="14">
        <v>2625</v>
      </c>
      <c r="AI45" s="14">
        <v>5670</v>
      </c>
      <c r="AJ45" s="14" t="s">
        <v>50</v>
      </c>
      <c r="AK45" s="13" t="s">
        <v>46</v>
      </c>
      <c r="AL45" s="13" t="s">
        <v>46</v>
      </c>
      <c r="AM45" s="13" t="s">
        <v>49</v>
      </c>
      <c r="AN45" s="13" t="s">
        <v>273</v>
      </c>
      <c r="AO45" s="13">
        <v>66</v>
      </c>
      <c r="AP45" s="14">
        <v>42.1</v>
      </c>
      <c r="AQ45" s="14" t="s">
        <v>49</v>
      </c>
      <c r="AR45" s="13">
        <v>0</v>
      </c>
      <c r="AS45" s="14">
        <v>0</v>
      </c>
      <c r="AT45" s="14">
        <v>0</v>
      </c>
      <c r="AU45" s="13" t="s">
        <v>272</v>
      </c>
      <c r="AV45" s="13" t="str">
        <f>HYPERLINK("https://diamdna.azureedge.net/imaged/mk26-6/still.jpg ","Image")</f>
        <v>Image</v>
      </c>
      <c r="AW45" s="13" t="str">
        <f>HYPERLINK("https://diamdna.azureedge.net/Vision360.html?d=mk26-6&amp;sr=-30&amp;s=30 ","Video")</f>
        <v>Video</v>
      </c>
      <c r="AX45" s="13" t="str">
        <f>HYPERLINK("https://diamdna.azureedge.net/imaged/mk26-6/video.mp4 ","Download")</f>
        <v>Download</v>
      </c>
      <c r="AY45" s="13" t="s">
        <v>42</v>
      </c>
      <c r="AZ45" s="13" t="str">
        <f>HYPERLINK("https://diamdna.azureedge.net/reports/7541670726.pdf#zoom=150 ","7541670726")</f>
        <v>7541670726</v>
      </c>
      <c r="BA45" s="13" t="s">
        <v>214</v>
      </c>
      <c r="BB45" s="13">
        <v>2.16</v>
      </c>
      <c r="BC45" s="14" t="s">
        <v>69</v>
      </c>
      <c r="BD45" s="13" t="s">
        <v>60</v>
      </c>
      <c r="BE45" s="13">
        <v>7500</v>
      </c>
      <c r="BF45" s="14">
        <v>16200.000000000002</v>
      </c>
      <c r="BG45" s="14">
        <v>-65</v>
      </c>
      <c r="BH45" s="14">
        <v>2625</v>
      </c>
      <c r="BI45" s="14">
        <v>5670</v>
      </c>
      <c r="BJ45" s="14" t="s">
        <v>50</v>
      </c>
      <c r="BK45" s="13" t="s">
        <v>46</v>
      </c>
      <c r="BL45" s="13" t="s">
        <v>46</v>
      </c>
      <c r="BM45" s="13" t="s">
        <v>49</v>
      </c>
      <c r="BN45" s="13" t="s">
        <v>273</v>
      </c>
      <c r="BO45" s="13">
        <v>66</v>
      </c>
      <c r="BP45" s="14">
        <v>42.1</v>
      </c>
      <c r="BQ45" s="14" t="s">
        <v>49</v>
      </c>
      <c r="BR45" s="13">
        <v>0</v>
      </c>
      <c r="BS45" s="14">
        <v>0</v>
      </c>
      <c r="BT45" s="14">
        <v>0</v>
      </c>
      <c r="BU45" s="14">
        <v>0</v>
      </c>
      <c r="BV45" s="14" t="s">
        <v>274</v>
      </c>
      <c r="BW45" s="13" t="s">
        <v>50</v>
      </c>
      <c r="BX45" s="13" t="s">
        <v>224</v>
      </c>
      <c r="BY45" s="13">
        <v>0</v>
      </c>
      <c r="BZ45" s="14">
        <v>1.1599999999999999</v>
      </c>
      <c r="CA45" s="14" t="s">
        <v>99</v>
      </c>
      <c r="CB45" s="13" t="s">
        <v>54</v>
      </c>
      <c r="CC45" s="13" t="s">
        <v>254</v>
      </c>
      <c r="CD45" s="13" t="s">
        <v>54</v>
      </c>
      <c r="CE45" s="13" t="s">
        <v>143</v>
      </c>
      <c r="CF45" s="13" t="s">
        <v>56</v>
      </c>
      <c r="CG45" s="13" t="s">
        <v>130</v>
      </c>
      <c r="CH45" s="13" t="s">
        <v>58</v>
      </c>
    </row>
    <row r="46" spans="21:86" x14ac:dyDescent="0.3">
      <c r="U46" s="13" t="s">
        <v>275</v>
      </c>
      <c r="V46" s="13" t="str">
        <f>HYPERLINK("https://diamdna.azureedge.net/imaged/kj25-7/still.jpg ","Image")</f>
        <v>Image</v>
      </c>
      <c r="W46" s="13" t="str">
        <f>HYPERLINK("https://diamdna.azureedge.net/Vision360.html?d=kj25-7&amp;sr=-30&amp;s=30 ","Video")</f>
        <v>Video</v>
      </c>
      <c r="X46" s="13" t="str">
        <f>HYPERLINK("https://diamdna.azureedge.net/imaged/kj25-7/video.mp4 ","Download")</f>
        <v>Download</v>
      </c>
      <c r="Y46" s="13" t="s">
        <v>42</v>
      </c>
      <c r="Z46" s="13" t="str">
        <f>HYPERLINK("https://diamdna.azureedge.net/reports/5546259507.pdf#zoom=150 ","5546259507")</f>
        <v>5546259507</v>
      </c>
      <c r="AA46" s="13" t="s">
        <v>113</v>
      </c>
      <c r="AB46" s="13">
        <v>2.13</v>
      </c>
      <c r="AC46" s="14" t="s">
        <v>96</v>
      </c>
      <c r="AD46" s="13" t="s">
        <v>78</v>
      </c>
      <c r="AE46" s="13">
        <v>15000</v>
      </c>
      <c r="AF46" s="14">
        <v>31950</v>
      </c>
      <c r="AG46" s="14">
        <v>-44.5</v>
      </c>
      <c r="AH46" s="14">
        <v>8325</v>
      </c>
      <c r="AI46" s="14">
        <v>17732.25</v>
      </c>
      <c r="AJ46" s="14" t="s">
        <v>50</v>
      </c>
      <c r="AK46" s="13" t="s">
        <v>46</v>
      </c>
      <c r="AL46" s="13" t="s">
        <v>46</v>
      </c>
      <c r="AM46" s="13" t="s">
        <v>134</v>
      </c>
      <c r="AN46" s="13" t="s">
        <v>276</v>
      </c>
      <c r="AO46" s="13">
        <v>60</v>
      </c>
      <c r="AP46" s="14">
        <v>62.9</v>
      </c>
      <c r="AQ46" s="14" t="s">
        <v>49</v>
      </c>
      <c r="AR46" s="13">
        <v>0</v>
      </c>
      <c r="AS46" s="14">
        <v>0</v>
      </c>
      <c r="AT46" s="14">
        <v>0</v>
      </c>
      <c r="AU46" s="13" t="s">
        <v>275</v>
      </c>
      <c r="AV46" s="13" t="str">
        <f>HYPERLINK("https://diamdna.azureedge.net/imaged/kj25-7/still.jpg ","Image")</f>
        <v>Image</v>
      </c>
      <c r="AW46" s="13" t="str">
        <f>HYPERLINK("https://diamdna.azureedge.net/Vision360.html?d=kj25-7&amp;sr=-30&amp;s=30 ","Video")</f>
        <v>Video</v>
      </c>
      <c r="AX46" s="13" t="str">
        <f>HYPERLINK("https://diamdna.azureedge.net/imaged/kj25-7/video.mp4 ","Download")</f>
        <v>Download</v>
      </c>
      <c r="AY46" s="13" t="s">
        <v>42</v>
      </c>
      <c r="AZ46" s="13" t="str">
        <f>HYPERLINK("https://diamdna.azureedge.net/reports/5546259507.pdf#zoom=150 ","5546259507")</f>
        <v>5546259507</v>
      </c>
      <c r="BA46" s="13" t="s">
        <v>113</v>
      </c>
      <c r="BB46" s="13">
        <v>2.13</v>
      </c>
      <c r="BC46" s="14" t="s">
        <v>96</v>
      </c>
      <c r="BD46" s="13" t="s">
        <v>78</v>
      </c>
      <c r="BE46" s="13">
        <v>15000</v>
      </c>
      <c r="BF46" s="14">
        <v>31950</v>
      </c>
      <c r="BG46" s="14">
        <v>-44.5</v>
      </c>
      <c r="BH46" s="14">
        <v>8325</v>
      </c>
      <c r="BI46" s="14">
        <v>17732.25</v>
      </c>
      <c r="BJ46" s="14" t="s">
        <v>50</v>
      </c>
      <c r="BK46" s="13" t="s">
        <v>46</v>
      </c>
      <c r="BL46" s="13" t="s">
        <v>46</v>
      </c>
      <c r="BM46" s="13" t="s">
        <v>134</v>
      </c>
      <c r="BN46" s="13" t="s">
        <v>276</v>
      </c>
      <c r="BO46" s="13">
        <v>60</v>
      </c>
      <c r="BP46" s="14">
        <v>62.9</v>
      </c>
      <c r="BQ46" s="14" t="s">
        <v>49</v>
      </c>
      <c r="BR46" s="13">
        <v>0</v>
      </c>
      <c r="BS46" s="14">
        <v>0</v>
      </c>
      <c r="BT46" s="14">
        <v>0</v>
      </c>
      <c r="BU46" s="14">
        <v>0</v>
      </c>
      <c r="BV46" s="14" t="s">
        <v>277</v>
      </c>
      <c r="BW46" s="13" t="s">
        <v>50</v>
      </c>
      <c r="BX46" s="13" t="s">
        <v>177</v>
      </c>
      <c r="BY46" s="13">
        <v>3.6</v>
      </c>
      <c r="BZ46" s="14">
        <v>1.5</v>
      </c>
      <c r="CA46" s="14" t="s">
        <v>197</v>
      </c>
      <c r="CB46" s="13" t="s">
        <v>54</v>
      </c>
      <c r="CC46" s="13" t="s">
        <v>115</v>
      </c>
      <c r="CD46" s="13" t="s">
        <v>54</v>
      </c>
      <c r="CE46" s="13" t="s">
        <v>110</v>
      </c>
      <c r="CF46" s="13" t="s">
        <v>56</v>
      </c>
      <c r="CG46" s="13" t="s">
        <v>57</v>
      </c>
      <c r="CH46" s="13" t="s">
        <v>278</v>
      </c>
    </row>
    <row r="47" spans="21:86" x14ac:dyDescent="0.3">
      <c r="U47" s="13" t="s">
        <v>279</v>
      </c>
      <c r="V47" s="13" t="str">
        <f>HYPERLINK("https://diamdna.azureedge.net/imaged/mk26-9/still.jpg ","Image")</f>
        <v>Image</v>
      </c>
      <c r="W47" s="13" t="str">
        <f>HYPERLINK("https://diamdna.azureedge.net/Vision360.html?d=mk26-9&amp;sr=-30&amp;s=30 ","Video")</f>
        <v>Video</v>
      </c>
      <c r="X47" s="13" t="str">
        <f>HYPERLINK("https://diamdna.azureedge.net/imaged/mk26-9/video.mp4 ","Download")</f>
        <v>Download</v>
      </c>
      <c r="Y47" s="13" t="s">
        <v>42</v>
      </c>
      <c r="Z47" s="13" t="str">
        <f>HYPERLINK("https://diamdna.azureedge.net/reports/1549928482.pdf#zoom=150 ","1549928482")</f>
        <v>1549928482</v>
      </c>
      <c r="AA47" s="13" t="s">
        <v>280</v>
      </c>
      <c r="AB47" s="13">
        <v>2.11</v>
      </c>
      <c r="AC47" s="14" t="s">
        <v>194</v>
      </c>
      <c r="AD47" s="13" t="s">
        <v>261</v>
      </c>
      <c r="AE47" s="13">
        <v>5900</v>
      </c>
      <c r="AF47" s="14">
        <v>12449</v>
      </c>
      <c r="AG47" s="14">
        <v>-57</v>
      </c>
      <c r="AH47" s="14">
        <v>2537</v>
      </c>
      <c r="AI47" s="14">
        <v>5353.07</v>
      </c>
      <c r="AJ47" s="14" t="s">
        <v>50</v>
      </c>
      <c r="AK47" s="13" t="s">
        <v>46</v>
      </c>
      <c r="AL47" s="13" t="s">
        <v>46</v>
      </c>
      <c r="AM47" s="13" t="s">
        <v>134</v>
      </c>
      <c r="AN47" s="13" t="s">
        <v>281</v>
      </c>
      <c r="AO47" s="13">
        <v>65</v>
      </c>
      <c r="AP47" s="14">
        <v>52.8</v>
      </c>
      <c r="AQ47" s="14" t="s">
        <v>49</v>
      </c>
      <c r="AR47" s="13">
        <v>0</v>
      </c>
      <c r="AS47" s="14">
        <v>0</v>
      </c>
      <c r="AT47" s="14">
        <v>0</v>
      </c>
      <c r="AU47" s="13" t="s">
        <v>279</v>
      </c>
      <c r="AV47" s="13" t="str">
        <f>HYPERLINK("https://diamdna.azureedge.net/imaged/mk26-9/still.jpg ","Image")</f>
        <v>Image</v>
      </c>
      <c r="AW47" s="13" t="str">
        <f>HYPERLINK("https://diamdna.azureedge.net/Vision360.html?d=mk26-9&amp;sr=-30&amp;s=30 ","Video")</f>
        <v>Video</v>
      </c>
      <c r="AX47" s="13" t="str">
        <f>HYPERLINK("https://diamdna.azureedge.net/imaged/mk26-9/video.mp4 ","Download")</f>
        <v>Download</v>
      </c>
      <c r="AY47" s="13" t="s">
        <v>42</v>
      </c>
      <c r="AZ47" s="13" t="str">
        <f>HYPERLINK("https://diamdna.azureedge.net/reports/1549928482.pdf#zoom=150 ","1549928482")</f>
        <v>1549928482</v>
      </c>
      <c r="BA47" s="13" t="s">
        <v>280</v>
      </c>
      <c r="BB47" s="13">
        <v>2.11</v>
      </c>
      <c r="BC47" s="14" t="s">
        <v>194</v>
      </c>
      <c r="BD47" s="13" t="s">
        <v>261</v>
      </c>
      <c r="BE47" s="13">
        <v>5900</v>
      </c>
      <c r="BF47" s="14">
        <v>12449</v>
      </c>
      <c r="BG47" s="14">
        <v>-57</v>
      </c>
      <c r="BH47" s="14">
        <v>2537</v>
      </c>
      <c r="BI47" s="14">
        <v>5353.07</v>
      </c>
      <c r="BJ47" s="14" t="s">
        <v>50</v>
      </c>
      <c r="BK47" s="13" t="s">
        <v>46</v>
      </c>
      <c r="BL47" s="13" t="s">
        <v>46</v>
      </c>
      <c r="BM47" s="13" t="s">
        <v>134</v>
      </c>
      <c r="BN47" s="13" t="s">
        <v>281</v>
      </c>
      <c r="BO47" s="13">
        <v>65</v>
      </c>
      <c r="BP47" s="14">
        <v>52.8</v>
      </c>
      <c r="BQ47" s="14" t="s">
        <v>49</v>
      </c>
      <c r="BR47" s="13">
        <v>0</v>
      </c>
      <c r="BS47" s="14">
        <v>0</v>
      </c>
      <c r="BT47" s="14">
        <v>0</v>
      </c>
      <c r="BU47" s="14">
        <v>0</v>
      </c>
      <c r="BV47" s="14" t="s">
        <v>274</v>
      </c>
      <c r="BW47" s="13" t="s">
        <v>50</v>
      </c>
      <c r="BX47" s="13" t="s">
        <v>107</v>
      </c>
      <c r="BY47" s="13">
        <v>0</v>
      </c>
      <c r="BZ47" s="14">
        <v>1.45</v>
      </c>
      <c r="CA47" s="14" t="s">
        <v>108</v>
      </c>
      <c r="CB47" s="13" t="s">
        <v>54</v>
      </c>
      <c r="CC47" s="13" t="s">
        <v>254</v>
      </c>
      <c r="CD47" s="13" t="s">
        <v>54</v>
      </c>
      <c r="CE47" s="13" t="s">
        <v>143</v>
      </c>
      <c r="CF47" s="13" t="s">
        <v>56</v>
      </c>
      <c r="CG47" s="13" t="s">
        <v>57</v>
      </c>
      <c r="CH47" s="13" t="s">
        <v>209</v>
      </c>
    </row>
    <row r="48" spans="21:86" x14ac:dyDescent="0.3">
      <c r="U48" s="13" t="s">
        <v>282</v>
      </c>
      <c r="V48" s="16"/>
      <c r="W48" s="16"/>
      <c r="X48" s="16"/>
      <c r="Y48" s="13" t="s">
        <v>283</v>
      </c>
      <c r="Z48" s="13" t="s">
        <v>50</v>
      </c>
      <c r="AA48" s="13" t="s">
        <v>43</v>
      </c>
      <c r="AB48" s="13">
        <v>2.09</v>
      </c>
      <c r="AC48" s="14" t="s">
        <v>194</v>
      </c>
      <c r="AD48" s="13" t="s">
        <v>284</v>
      </c>
      <c r="AE48" s="13">
        <v>1700</v>
      </c>
      <c r="AF48" s="14">
        <v>3552.9999999999995</v>
      </c>
      <c r="AG48" s="14">
        <v>-60</v>
      </c>
      <c r="AH48" s="14">
        <v>680</v>
      </c>
      <c r="AI48" s="14">
        <v>1421.2</v>
      </c>
      <c r="AJ48" s="14" t="s">
        <v>46</v>
      </c>
      <c r="AK48" s="13" t="s">
        <v>46</v>
      </c>
      <c r="AL48" s="13" t="s">
        <v>46</v>
      </c>
      <c r="AM48" s="13" t="s">
        <v>49</v>
      </c>
      <c r="AN48" s="13" t="s">
        <v>285</v>
      </c>
      <c r="AO48" s="13">
        <v>55</v>
      </c>
      <c r="AP48" s="14">
        <v>66.8</v>
      </c>
      <c r="AQ48" s="14" t="s">
        <v>49</v>
      </c>
      <c r="AR48" s="13">
        <v>0</v>
      </c>
      <c r="AS48" s="14">
        <v>0</v>
      </c>
      <c r="AT48" s="14">
        <v>0</v>
      </c>
      <c r="AU48" s="13" t="s">
        <v>282</v>
      </c>
      <c r="AV48" s="16"/>
      <c r="AW48" s="16"/>
      <c r="AX48" s="16"/>
      <c r="AY48" s="13" t="s">
        <v>283</v>
      </c>
      <c r="AZ48" s="13" t="s">
        <v>50</v>
      </c>
      <c r="BA48" s="13" t="s">
        <v>43</v>
      </c>
      <c r="BB48" s="13">
        <v>2.09</v>
      </c>
      <c r="BC48" s="14" t="s">
        <v>194</v>
      </c>
      <c r="BD48" s="13" t="s">
        <v>284</v>
      </c>
      <c r="BE48" s="13">
        <v>1700</v>
      </c>
      <c r="BF48" s="14">
        <v>3552.9999999999995</v>
      </c>
      <c r="BG48" s="14">
        <v>-60</v>
      </c>
      <c r="BH48" s="14">
        <v>680</v>
      </c>
      <c r="BI48" s="14">
        <v>1421.2</v>
      </c>
      <c r="BJ48" s="14" t="s">
        <v>46</v>
      </c>
      <c r="BK48" s="13" t="s">
        <v>46</v>
      </c>
      <c r="BL48" s="13" t="s">
        <v>46</v>
      </c>
      <c r="BM48" s="13" t="s">
        <v>49</v>
      </c>
      <c r="BN48" s="13" t="s">
        <v>285</v>
      </c>
      <c r="BO48" s="13">
        <v>55</v>
      </c>
      <c r="BP48" s="14">
        <v>66.8</v>
      </c>
      <c r="BQ48" s="14" t="s">
        <v>49</v>
      </c>
      <c r="BR48" s="13">
        <v>0</v>
      </c>
      <c r="BS48" s="14">
        <v>0</v>
      </c>
      <c r="BT48" s="14">
        <v>0</v>
      </c>
      <c r="BU48" s="14">
        <v>0</v>
      </c>
      <c r="BV48" s="14"/>
      <c r="BW48" s="13" t="s">
        <v>50</v>
      </c>
      <c r="BX48" s="13" t="s">
        <v>177</v>
      </c>
      <c r="BY48" s="13">
        <v>0</v>
      </c>
      <c r="BZ48" s="14">
        <v>1.02</v>
      </c>
      <c r="CA48" s="14" t="s">
        <v>52</v>
      </c>
      <c r="CB48" s="13" t="s">
        <v>54</v>
      </c>
      <c r="CC48" s="13"/>
      <c r="CD48" s="13" t="s">
        <v>54</v>
      </c>
      <c r="CE48" s="13" t="s">
        <v>93</v>
      </c>
      <c r="CF48" s="13" t="s">
        <v>56</v>
      </c>
      <c r="CG48" s="13" t="s">
        <v>57</v>
      </c>
      <c r="CH48" s="13" t="s">
        <v>286</v>
      </c>
    </row>
    <row r="49" spans="21:86" x14ac:dyDescent="0.3">
      <c r="U49" s="13" t="s">
        <v>287</v>
      </c>
      <c r="V49" s="13" t="str">
        <f>HYPERLINK("https://diamdna.azureedge.net/imaged/ma25-27/still.jpg ","Image")</f>
        <v>Image</v>
      </c>
      <c r="W49" s="13" t="str">
        <f>HYPERLINK("https://diamdna.azureedge.net/Vision360.html?d=ma25-27&amp;sr=-30&amp;s=30 ","Video")</f>
        <v>Video</v>
      </c>
      <c r="X49" s="13" t="str">
        <f>HYPERLINK("https://diamdna.azureedge.net/imaged/ma25-27/video.mp4 ","Download")</f>
        <v>Download</v>
      </c>
      <c r="Y49" s="13" t="s">
        <v>42</v>
      </c>
      <c r="Z49" s="13" t="str">
        <f>HYPERLINK("https://diamdna.azureedge.net/reports/7541600427.pdf#zoom=150 ","7541600427")</f>
        <v>7541600427</v>
      </c>
      <c r="AA49" s="13" t="s">
        <v>43</v>
      </c>
      <c r="AB49" s="13">
        <v>2.0699999999999998</v>
      </c>
      <c r="AC49" s="14" t="s">
        <v>288</v>
      </c>
      <c r="AD49" s="13" t="s">
        <v>147</v>
      </c>
      <c r="AE49" s="13">
        <v>18500</v>
      </c>
      <c r="AF49" s="14">
        <v>38295</v>
      </c>
      <c r="AG49" s="14">
        <v>-49</v>
      </c>
      <c r="AH49" s="14">
        <v>9435</v>
      </c>
      <c r="AI49" s="14">
        <v>19530.45</v>
      </c>
      <c r="AJ49" s="14" t="s">
        <v>46</v>
      </c>
      <c r="AK49" s="13" t="s">
        <v>46</v>
      </c>
      <c r="AL49" s="13" t="s">
        <v>46</v>
      </c>
      <c r="AM49" s="13" t="s">
        <v>134</v>
      </c>
      <c r="AN49" s="13" t="s">
        <v>289</v>
      </c>
      <c r="AO49" s="13">
        <v>57</v>
      </c>
      <c r="AP49" s="14">
        <v>62.7</v>
      </c>
      <c r="AQ49" s="14" t="s">
        <v>49</v>
      </c>
      <c r="AR49" s="13">
        <v>36</v>
      </c>
      <c r="AS49" s="14">
        <v>15.5</v>
      </c>
      <c r="AT49" s="14">
        <v>41.2</v>
      </c>
      <c r="AU49" s="13" t="s">
        <v>287</v>
      </c>
      <c r="AV49" s="13" t="str">
        <f>HYPERLINK("https://diamdna.azureedge.net/imaged/ma25-27/still.jpg ","Image")</f>
        <v>Image</v>
      </c>
      <c r="AW49" s="13" t="str">
        <f>HYPERLINK("https://diamdna.azureedge.net/Vision360.html?d=ma25-27&amp;sr=-30&amp;s=30 ","Video")</f>
        <v>Video</v>
      </c>
      <c r="AX49" s="13" t="str">
        <f>HYPERLINK("https://diamdna.azureedge.net/imaged/ma25-27/video.mp4 ","Download")</f>
        <v>Download</v>
      </c>
      <c r="AY49" s="13" t="s">
        <v>42</v>
      </c>
      <c r="AZ49" s="13" t="str">
        <f>HYPERLINK("https://diamdna.azureedge.net/reports/7541600427.pdf#zoom=150 ","7541600427")</f>
        <v>7541600427</v>
      </c>
      <c r="BA49" s="13" t="s">
        <v>43</v>
      </c>
      <c r="BB49" s="13">
        <v>2.0699999999999998</v>
      </c>
      <c r="BC49" s="14" t="s">
        <v>288</v>
      </c>
      <c r="BD49" s="13" t="s">
        <v>147</v>
      </c>
      <c r="BE49" s="13">
        <v>18500</v>
      </c>
      <c r="BF49" s="14">
        <v>38295</v>
      </c>
      <c r="BG49" s="14">
        <v>-49</v>
      </c>
      <c r="BH49" s="14">
        <v>9435</v>
      </c>
      <c r="BI49" s="14">
        <v>19530.45</v>
      </c>
      <c r="BJ49" s="14" t="s">
        <v>46</v>
      </c>
      <c r="BK49" s="13" t="s">
        <v>46</v>
      </c>
      <c r="BL49" s="13" t="s">
        <v>46</v>
      </c>
      <c r="BM49" s="13" t="s">
        <v>134</v>
      </c>
      <c r="BN49" s="13" t="s">
        <v>289</v>
      </c>
      <c r="BO49" s="13">
        <v>57</v>
      </c>
      <c r="BP49" s="14">
        <v>62.7</v>
      </c>
      <c r="BQ49" s="14" t="s">
        <v>49</v>
      </c>
      <c r="BR49" s="13">
        <v>36</v>
      </c>
      <c r="BS49" s="14">
        <v>15.5</v>
      </c>
      <c r="BT49" s="14">
        <v>41.2</v>
      </c>
      <c r="BU49" s="14">
        <v>43.5</v>
      </c>
      <c r="BV49" s="14" t="s">
        <v>290</v>
      </c>
      <c r="BW49" s="13" t="s">
        <v>50</v>
      </c>
      <c r="BX49" s="13" t="s">
        <v>51</v>
      </c>
      <c r="BY49" s="13">
        <v>3.5</v>
      </c>
      <c r="BZ49" s="14">
        <v>1.01</v>
      </c>
      <c r="CA49" s="14" t="s">
        <v>52</v>
      </c>
      <c r="CB49" s="13" t="s">
        <v>54</v>
      </c>
      <c r="CC49" s="13" t="s">
        <v>129</v>
      </c>
      <c r="CD49" s="13" t="s">
        <v>54</v>
      </c>
      <c r="CE49" s="13" t="s">
        <v>55</v>
      </c>
      <c r="CF49" s="13" t="s">
        <v>56</v>
      </c>
      <c r="CG49" s="13" t="s">
        <v>57</v>
      </c>
      <c r="CH49" s="13" t="s">
        <v>291</v>
      </c>
    </row>
    <row r="50" spans="21:86" x14ac:dyDescent="0.3">
      <c r="U50" s="13" t="s">
        <v>292</v>
      </c>
      <c r="V50" s="13" t="str">
        <f>HYPERLINK("https://diamdna.azureedge.net/imaged/mk26-4/still.jpg ","Image")</f>
        <v>Image</v>
      </c>
      <c r="W50" s="13" t="str">
        <f>HYPERLINK("https://diamdna.azureedge.net/Vision360.html?d=mk26-4&amp;sr=-30&amp;s=30 ","Video")</f>
        <v>Video</v>
      </c>
      <c r="X50" s="13" t="str">
        <f>HYPERLINK("https://diamdna.azureedge.net/imaged/mk26-4/video.mp4 ","Download")</f>
        <v>Download</v>
      </c>
      <c r="Y50" s="13" t="s">
        <v>42</v>
      </c>
      <c r="Z50" s="13" t="str">
        <f>HYPERLINK("https://diamdna.azureedge.net/reports/2546758641.pdf#zoom=150 ","2546758641")</f>
        <v>2546758641</v>
      </c>
      <c r="AA50" s="13" t="s">
        <v>214</v>
      </c>
      <c r="AB50" s="13">
        <v>2.0699999999999998</v>
      </c>
      <c r="AC50" s="14" t="s">
        <v>194</v>
      </c>
      <c r="AD50" s="13" t="s">
        <v>60</v>
      </c>
      <c r="AE50" s="13">
        <v>9100</v>
      </c>
      <c r="AF50" s="14">
        <v>18837</v>
      </c>
      <c r="AG50" s="14">
        <v>-70</v>
      </c>
      <c r="AH50" s="14">
        <v>2730</v>
      </c>
      <c r="AI50" s="14">
        <v>5651.1</v>
      </c>
      <c r="AJ50" s="14" t="s">
        <v>50</v>
      </c>
      <c r="AK50" s="13" t="s">
        <v>46</v>
      </c>
      <c r="AL50" s="13" t="s">
        <v>46</v>
      </c>
      <c r="AM50" s="13" t="s">
        <v>47</v>
      </c>
      <c r="AN50" s="13" t="s">
        <v>293</v>
      </c>
      <c r="AO50" s="13">
        <v>65</v>
      </c>
      <c r="AP50" s="14">
        <v>38.299999999999997</v>
      </c>
      <c r="AQ50" s="14" t="s">
        <v>49</v>
      </c>
      <c r="AR50" s="13">
        <v>0</v>
      </c>
      <c r="AS50" s="14">
        <v>0</v>
      </c>
      <c r="AT50" s="14">
        <v>0</v>
      </c>
      <c r="AU50" s="13" t="s">
        <v>292</v>
      </c>
      <c r="AV50" s="13" t="str">
        <f>HYPERLINK("https://diamdna.azureedge.net/imaged/mk26-4/still.jpg ","Image")</f>
        <v>Image</v>
      </c>
      <c r="AW50" s="13" t="str">
        <f>HYPERLINK("https://diamdna.azureedge.net/Vision360.html?d=mk26-4&amp;sr=-30&amp;s=30 ","Video")</f>
        <v>Video</v>
      </c>
      <c r="AX50" s="13" t="str">
        <f>HYPERLINK("https://diamdna.azureedge.net/imaged/mk26-4/video.mp4 ","Download")</f>
        <v>Download</v>
      </c>
      <c r="AY50" s="13" t="s">
        <v>42</v>
      </c>
      <c r="AZ50" s="13" t="str">
        <f>HYPERLINK("https://diamdna.azureedge.net/reports/2546758641.pdf#zoom=150 ","2546758641")</f>
        <v>2546758641</v>
      </c>
      <c r="BA50" s="13" t="s">
        <v>214</v>
      </c>
      <c r="BB50" s="13">
        <v>2.0699999999999998</v>
      </c>
      <c r="BC50" s="14" t="s">
        <v>194</v>
      </c>
      <c r="BD50" s="13" t="s">
        <v>60</v>
      </c>
      <c r="BE50" s="13">
        <v>9100</v>
      </c>
      <c r="BF50" s="14">
        <v>18837</v>
      </c>
      <c r="BG50" s="14">
        <v>-70</v>
      </c>
      <c r="BH50" s="14">
        <v>2730</v>
      </c>
      <c r="BI50" s="14">
        <v>5651.1</v>
      </c>
      <c r="BJ50" s="14" t="s">
        <v>50</v>
      </c>
      <c r="BK50" s="13" t="s">
        <v>46</v>
      </c>
      <c r="BL50" s="13" t="s">
        <v>46</v>
      </c>
      <c r="BM50" s="13" t="s">
        <v>47</v>
      </c>
      <c r="BN50" s="13" t="s">
        <v>293</v>
      </c>
      <c r="BO50" s="13">
        <v>65</v>
      </c>
      <c r="BP50" s="14">
        <v>38.299999999999997</v>
      </c>
      <c r="BQ50" s="14" t="s">
        <v>49</v>
      </c>
      <c r="BR50" s="13">
        <v>0</v>
      </c>
      <c r="BS50" s="14">
        <v>0</v>
      </c>
      <c r="BT50" s="14">
        <v>0</v>
      </c>
      <c r="BU50" s="14">
        <v>0</v>
      </c>
      <c r="BV50" s="14" t="s">
        <v>271</v>
      </c>
      <c r="BW50" s="13" t="s">
        <v>50</v>
      </c>
      <c r="BX50" s="13" t="s">
        <v>72</v>
      </c>
      <c r="BY50" s="13">
        <v>0</v>
      </c>
      <c r="BZ50" s="14">
        <v>1.1599999999999999</v>
      </c>
      <c r="CA50" s="14" t="s">
        <v>197</v>
      </c>
      <c r="CB50" s="13" t="s">
        <v>54</v>
      </c>
      <c r="CC50" s="13" t="s">
        <v>294</v>
      </c>
      <c r="CD50" s="13" t="s">
        <v>54</v>
      </c>
      <c r="CE50" s="13" t="s">
        <v>143</v>
      </c>
      <c r="CF50" s="13" t="s">
        <v>56</v>
      </c>
      <c r="CG50" s="13" t="s">
        <v>57</v>
      </c>
      <c r="CH50" s="13" t="s">
        <v>295</v>
      </c>
    </row>
    <row r="51" spans="21:86" x14ac:dyDescent="0.3">
      <c r="U51" s="13" t="s">
        <v>296</v>
      </c>
      <c r="V51" s="13" t="str">
        <f>HYPERLINK("https://diamdna.azureedge.net/imaged/kl25-31/still.jpg ","Image")</f>
        <v>Image</v>
      </c>
      <c r="W51" s="13" t="str">
        <f>HYPERLINK("https://diamdna.azureedge.net/Vision360.html?d=kl25-31&amp;sr=-30&amp;s=30 ","Video")</f>
        <v>Video</v>
      </c>
      <c r="X51" s="13" t="str">
        <f>HYPERLINK("https://diamdna.azureedge.net/imaged/kl25-31/video.mp4 ","Download")</f>
        <v>Download</v>
      </c>
      <c r="Y51" s="13" t="s">
        <v>42</v>
      </c>
      <c r="Z51" s="13" t="str">
        <f>HYPERLINK("https://diamdna.azureedge.net/reports/2546416730.pdf#zoom=150 ","2546416730")</f>
        <v>2546416730</v>
      </c>
      <c r="AA51" s="13" t="s">
        <v>113</v>
      </c>
      <c r="AB51" s="13">
        <v>2.0499999999999998</v>
      </c>
      <c r="AC51" s="14" t="s">
        <v>194</v>
      </c>
      <c r="AD51" s="13" t="s">
        <v>125</v>
      </c>
      <c r="AE51" s="13">
        <v>16000</v>
      </c>
      <c r="AF51" s="14">
        <v>32800</v>
      </c>
      <c r="AG51" s="14">
        <v>-40</v>
      </c>
      <c r="AH51" s="14">
        <v>9600</v>
      </c>
      <c r="AI51" s="14">
        <v>19680</v>
      </c>
      <c r="AJ51" s="14" t="s">
        <v>50</v>
      </c>
      <c r="AK51" s="13" t="s">
        <v>46</v>
      </c>
      <c r="AL51" s="13" t="s">
        <v>120</v>
      </c>
      <c r="AM51" s="13" t="s">
        <v>134</v>
      </c>
      <c r="AN51" s="13" t="s">
        <v>297</v>
      </c>
      <c r="AO51" s="13">
        <v>58</v>
      </c>
      <c r="AP51" s="14">
        <v>62.8</v>
      </c>
      <c r="AQ51" s="14" t="s">
        <v>49</v>
      </c>
      <c r="AR51" s="13">
        <v>0</v>
      </c>
      <c r="AS51" s="14">
        <v>0</v>
      </c>
      <c r="AT51" s="14">
        <v>0</v>
      </c>
      <c r="AU51" s="13" t="s">
        <v>296</v>
      </c>
      <c r="AV51" s="13" t="str">
        <f>HYPERLINK("https://diamdna.azureedge.net/imaged/kl25-31/still.jpg ","Image")</f>
        <v>Image</v>
      </c>
      <c r="AW51" s="13" t="str">
        <f>HYPERLINK("https://diamdna.azureedge.net/Vision360.html?d=kl25-31&amp;sr=-30&amp;s=30 ","Video")</f>
        <v>Video</v>
      </c>
      <c r="AX51" s="13" t="str">
        <f>HYPERLINK("https://diamdna.azureedge.net/imaged/kl25-31/video.mp4 ","Download")</f>
        <v>Download</v>
      </c>
      <c r="AY51" s="13" t="s">
        <v>42</v>
      </c>
      <c r="AZ51" s="13" t="str">
        <f>HYPERLINK("https://diamdna.azureedge.net/reports/2546416730.pdf#zoom=150 ","2546416730")</f>
        <v>2546416730</v>
      </c>
      <c r="BA51" s="13" t="s">
        <v>113</v>
      </c>
      <c r="BB51" s="13">
        <v>2.0499999999999998</v>
      </c>
      <c r="BC51" s="14" t="s">
        <v>194</v>
      </c>
      <c r="BD51" s="13" t="s">
        <v>125</v>
      </c>
      <c r="BE51" s="13">
        <v>16000</v>
      </c>
      <c r="BF51" s="14">
        <v>32800</v>
      </c>
      <c r="BG51" s="14">
        <v>-40</v>
      </c>
      <c r="BH51" s="14">
        <v>9600</v>
      </c>
      <c r="BI51" s="14">
        <v>19680</v>
      </c>
      <c r="BJ51" s="14" t="s">
        <v>50</v>
      </c>
      <c r="BK51" s="13" t="s">
        <v>46</v>
      </c>
      <c r="BL51" s="13" t="s">
        <v>120</v>
      </c>
      <c r="BM51" s="13" t="s">
        <v>134</v>
      </c>
      <c r="BN51" s="13" t="s">
        <v>297</v>
      </c>
      <c r="BO51" s="13">
        <v>58</v>
      </c>
      <c r="BP51" s="14">
        <v>62.8</v>
      </c>
      <c r="BQ51" s="14" t="s">
        <v>49</v>
      </c>
      <c r="BR51" s="13">
        <v>0</v>
      </c>
      <c r="BS51" s="14">
        <v>0</v>
      </c>
      <c r="BT51" s="14">
        <v>0</v>
      </c>
      <c r="BU51" s="14">
        <v>0</v>
      </c>
      <c r="BV51" s="14" t="s">
        <v>298</v>
      </c>
      <c r="BW51" s="13" t="s">
        <v>50</v>
      </c>
      <c r="BX51" s="13" t="s">
        <v>72</v>
      </c>
      <c r="BY51" s="13">
        <v>3.6</v>
      </c>
      <c r="BZ51" s="14">
        <v>1.61</v>
      </c>
      <c r="CA51" s="14" t="s">
        <v>52</v>
      </c>
      <c r="CB51" s="13" t="s">
        <v>54</v>
      </c>
      <c r="CC51" s="13" t="s">
        <v>129</v>
      </c>
      <c r="CD51" s="13" t="s">
        <v>54</v>
      </c>
      <c r="CE51" s="13" t="s">
        <v>110</v>
      </c>
      <c r="CF51" s="13" t="s">
        <v>56</v>
      </c>
      <c r="CG51" s="13" t="s">
        <v>57</v>
      </c>
      <c r="CH51" s="13" t="s">
        <v>144</v>
      </c>
    </row>
    <row r="52" spans="21:86" x14ac:dyDescent="0.3">
      <c r="U52" s="13" t="s">
        <v>299</v>
      </c>
      <c r="V52" s="13" t="str">
        <f>HYPERLINK("https://diamdna.azureedge.net/imaged/mk26-7/still.jpg ","Image")</f>
        <v>Image</v>
      </c>
      <c r="W52" s="13" t="str">
        <f>HYPERLINK("https://diamdna.azureedge.net/Vision360.html?d=mk26-7&amp;sr=-30&amp;s=30 ","Video")</f>
        <v>Video</v>
      </c>
      <c r="X52" s="13" t="str">
        <f>HYPERLINK("https://diamdna.azureedge.net/imaged/mk26-7/video.mp4 ","Download")</f>
        <v>Download</v>
      </c>
      <c r="Y52" s="13" t="s">
        <v>42</v>
      </c>
      <c r="Z52" s="13" t="str">
        <f>HYPERLINK("https://diamdna.azureedge.net/reports/7542928548.pdf#zoom=150 ","7542928548")</f>
        <v>7542928548</v>
      </c>
      <c r="AA52" s="13" t="s">
        <v>280</v>
      </c>
      <c r="AB52" s="13">
        <v>2.04</v>
      </c>
      <c r="AC52" s="14" t="s">
        <v>91</v>
      </c>
      <c r="AD52" s="13" t="s">
        <v>78</v>
      </c>
      <c r="AE52" s="13">
        <v>16000</v>
      </c>
      <c r="AF52" s="14">
        <v>32640</v>
      </c>
      <c r="AG52" s="14">
        <v>-58</v>
      </c>
      <c r="AH52" s="14">
        <v>6720</v>
      </c>
      <c r="AI52" s="14">
        <v>13708.8</v>
      </c>
      <c r="AJ52" s="14" t="s">
        <v>50</v>
      </c>
      <c r="AK52" s="13" t="s">
        <v>46</v>
      </c>
      <c r="AL52" s="13" t="s">
        <v>46</v>
      </c>
      <c r="AM52" s="13" t="s">
        <v>47</v>
      </c>
      <c r="AN52" s="13" t="s">
        <v>300</v>
      </c>
      <c r="AO52" s="13">
        <v>55</v>
      </c>
      <c r="AP52" s="14">
        <v>55.9</v>
      </c>
      <c r="AQ52" s="14" t="s">
        <v>49</v>
      </c>
      <c r="AR52" s="13">
        <v>0</v>
      </c>
      <c r="AS52" s="14">
        <v>0</v>
      </c>
      <c r="AT52" s="14">
        <v>0</v>
      </c>
      <c r="AU52" s="13" t="s">
        <v>299</v>
      </c>
      <c r="AV52" s="13" t="str">
        <f>HYPERLINK("https://diamdna.azureedge.net/imaged/mk26-7/still.jpg ","Image")</f>
        <v>Image</v>
      </c>
      <c r="AW52" s="13" t="str">
        <f>HYPERLINK("https://diamdna.azureedge.net/Vision360.html?d=mk26-7&amp;sr=-30&amp;s=30 ","Video")</f>
        <v>Video</v>
      </c>
      <c r="AX52" s="13" t="str">
        <f>HYPERLINK("https://diamdna.azureedge.net/imaged/mk26-7/video.mp4 ","Download")</f>
        <v>Download</v>
      </c>
      <c r="AY52" s="13" t="s">
        <v>42</v>
      </c>
      <c r="AZ52" s="13" t="str">
        <f>HYPERLINK("https://diamdna.azureedge.net/reports/7542928548.pdf#zoom=150 ","7542928548")</f>
        <v>7542928548</v>
      </c>
      <c r="BA52" s="13" t="s">
        <v>280</v>
      </c>
      <c r="BB52" s="13">
        <v>2.04</v>
      </c>
      <c r="BC52" s="14" t="s">
        <v>91</v>
      </c>
      <c r="BD52" s="13" t="s">
        <v>78</v>
      </c>
      <c r="BE52" s="13">
        <v>16000</v>
      </c>
      <c r="BF52" s="14">
        <v>32640</v>
      </c>
      <c r="BG52" s="14">
        <v>-58</v>
      </c>
      <c r="BH52" s="14">
        <v>6720</v>
      </c>
      <c r="BI52" s="14">
        <v>13708.8</v>
      </c>
      <c r="BJ52" s="14" t="s">
        <v>50</v>
      </c>
      <c r="BK52" s="13" t="s">
        <v>46</v>
      </c>
      <c r="BL52" s="13" t="s">
        <v>46</v>
      </c>
      <c r="BM52" s="13" t="s">
        <v>47</v>
      </c>
      <c r="BN52" s="13" t="s">
        <v>300</v>
      </c>
      <c r="BO52" s="13">
        <v>55</v>
      </c>
      <c r="BP52" s="14">
        <v>55.9</v>
      </c>
      <c r="BQ52" s="14" t="s">
        <v>49</v>
      </c>
      <c r="BR52" s="13">
        <v>0</v>
      </c>
      <c r="BS52" s="14">
        <v>0</v>
      </c>
      <c r="BT52" s="14">
        <v>0</v>
      </c>
      <c r="BU52" s="14">
        <v>0</v>
      </c>
      <c r="BV52" s="14" t="s">
        <v>301</v>
      </c>
      <c r="BW52" s="13" t="s">
        <v>50</v>
      </c>
      <c r="BX52" s="13" t="s">
        <v>253</v>
      </c>
      <c r="BY52" s="13">
        <v>0</v>
      </c>
      <c r="BZ52" s="14">
        <v>1.43</v>
      </c>
      <c r="CA52" s="14" t="s">
        <v>197</v>
      </c>
      <c r="CB52" s="13" t="s">
        <v>54</v>
      </c>
      <c r="CC52" s="13" t="s">
        <v>254</v>
      </c>
      <c r="CD52" s="13" t="s">
        <v>54</v>
      </c>
      <c r="CE52" s="13" t="s">
        <v>143</v>
      </c>
      <c r="CF52" s="13" t="s">
        <v>56</v>
      </c>
      <c r="CG52" s="13" t="s">
        <v>57</v>
      </c>
      <c r="CH52" s="13" t="s">
        <v>302</v>
      </c>
    </row>
    <row r="53" spans="21:86" x14ac:dyDescent="0.3">
      <c r="U53" s="13" t="s">
        <v>303</v>
      </c>
      <c r="V53" s="13" t="str">
        <f>HYPERLINK("https://diamdna.azureedge.net/imaged/mk26-5/still.jpg ","Image")</f>
        <v>Image</v>
      </c>
      <c r="W53" s="13" t="str">
        <f>HYPERLINK("https://diamdna.azureedge.net/Vision360.html?d=mk26-5&amp;sr=-30&amp;s=30 ","Video")</f>
        <v>Video</v>
      </c>
      <c r="X53" s="13" t="str">
        <f>HYPERLINK("https://diamdna.azureedge.net/imaged/mk26-5/video.mp4 ","Download")</f>
        <v>Download</v>
      </c>
      <c r="Y53" s="13" t="s">
        <v>42</v>
      </c>
      <c r="Z53" s="13" t="str">
        <f>HYPERLINK("https://diamdna.azureedge.net/reports/6542606981.pdf#zoom=150 ","6542606981")</f>
        <v>6542606981</v>
      </c>
      <c r="AA53" s="13" t="s">
        <v>304</v>
      </c>
      <c r="AB53" s="13">
        <v>2.04</v>
      </c>
      <c r="AC53" s="14" t="s">
        <v>44</v>
      </c>
      <c r="AD53" s="13" t="s">
        <v>60</v>
      </c>
      <c r="AE53" s="13">
        <v>6300</v>
      </c>
      <c r="AF53" s="14">
        <v>12852</v>
      </c>
      <c r="AG53" s="14">
        <v>-46</v>
      </c>
      <c r="AH53" s="14">
        <v>3402</v>
      </c>
      <c r="AI53" s="14">
        <v>6940.08</v>
      </c>
      <c r="AJ53" s="14" t="s">
        <v>50</v>
      </c>
      <c r="AK53" s="13" t="s">
        <v>46</v>
      </c>
      <c r="AL53" s="13" t="s">
        <v>46</v>
      </c>
      <c r="AM53" s="13" t="s">
        <v>49</v>
      </c>
      <c r="AN53" s="13" t="s">
        <v>305</v>
      </c>
      <c r="AO53" s="13">
        <v>63</v>
      </c>
      <c r="AP53" s="14">
        <v>54.2</v>
      </c>
      <c r="AQ53" s="14" t="s">
        <v>49</v>
      </c>
      <c r="AR53" s="13">
        <v>0</v>
      </c>
      <c r="AS53" s="14">
        <v>0</v>
      </c>
      <c r="AT53" s="14">
        <v>0</v>
      </c>
      <c r="AU53" s="13" t="s">
        <v>303</v>
      </c>
      <c r="AV53" s="13" t="str">
        <f>HYPERLINK("https://diamdna.azureedge.net/imaged/mk26-5/still.jpg ","Image")</f>
        <v>Image</v>
      </c>
      <c r="AW53" s="13" t="str">
        <f>HYPERLINK("https://diamdna.azureedge.net/Vision360.html?d=mk26-5&amp;sr=-30&amp;s=30 ","Video")</f>
        <v>Video</v>
      </c>
      <c r="AX53" s="13" t="str">
        <f>HYPERLINK("https://diamdna.azureedge.net/imaged/mk26-5/video.mp4 ","Download")</f>
        <v>Download</v>
      </c>
      <c r="AY53" s="13" t="s">
        <v>42</v>
      </c>
      <c r="AZ53" s="13" t="str">
        <f>HYPERLINK("https://diamdna.azureedge.net/reports/6542606981.pdf#zoom=150 ","6542606981")</f>
        <v>6542606981</v>
      </c>
      <c r="BA53" s="13" t="s">
        <v>304</v>
      </c>
      <c r="BB53" s="13">
        <v>2.04</v>
      </c>
      <c r="BC53" s="14" t="s">
        <v>44</v>
      </c>
      <c r="BD53" s="13" t="s">
        <v>60</v>
      </c>
      <c r="BE53" s="13">
        <v>6300</v>
      </c>
      <c r="BF53" s="14">
        <v>12852</v>
      </c>
      <c r="BG53" s="14">
        <v>-46</v>
      </c>
      <c r="BH53" s="14">
        <v>3402</v>
      </c>
      <c r="BI53" s="14">
        <v>6940.08</v>
      </c>
      <c r="BJ53" s="14" t="s">
        <v>50</v>
      </c>
      <c r="BK53" s="13" t="s">
        <v>46</v>
      </c>
      <c r="BL53" s="13" t="s">
        <v>46</v>
      </c>
      <c r="BM53" s="13" t="s">
        <v>49</v>
      </c>
      <c r="BN53" s="13" t="s">
        <v>305</v>
      </c>
      <c r="BO53" s="13">
        <v>63</v>
      </c>
      <c r="BP53" s="14">
        <v>54.2</v>
      </c>
      <c r="BQ53" s="14" t="s">
        <v>49</v>
      </c>
      <c r="BR53" s="13">
        <v>0</v>
      </c>
      <c r="BS53" s="14">
        <v>0</v>
      </c>
      <c r="BT53" s="14">
        <v>0</v>
      </c>
      <c r="BU53" s="14">
        <v>0</v>
      </c>
      <c r="BV53" s="14" t="s">
        <v>306</v>
      </c>
      <c r="BW53" s="13" t="s">
        <v>50</v>
      </c>
      <c r="BX53" s="13" t="s">
        <v>107</v>
      </c>
      <c r="BY53" s="13">
        <v>0</v>
      </c>
      <c r="BZ53" s="14">
        <v>1.58</v>
      </c>
      <c r="CA53" s="14" t="s">
        <v>99</v>
      </c>
      <c r="CB53" s="13" t="s">
        <v>54</v>
      </c>
      <c r="CC53" s="13" t="s">
        <v>254</v>
      </c>
      <c r="CD53" s="13" t="s">
        <v>54</v>
      </c>
      <c r="CE53" s="13" t="s">
        <v>143</v>
      </c>
      <c r="CF53" s="13" t="s">
        <v>56</v>
      </c>
      <c r="CG53" s="13" t="s">
        <v>130</v>
      </c>
      <c r="CH53" s="13" t="s">
        <v>131</v>
      </c>
    </row>
    <row r="54" spans="21:86" x14ac:dyDescent="0.3">
      <c r="U54" s="13" t="s">
        <v>307</v>
      </c>
      <c r="V54" s="13" t="str">
        <f>HYPERLINK("https://diamdna.azureedge.net/imaged/gr-35/still.jpg ","Image")</f>
        <v>Image</v>
      </c>
      <c r="W54" s="13" t="str">
        <f>HYPERLINK("https://diamdna.azureedge.net/Vision360.html?d=gr-35&amp;sr=-30&amp;s=30 ","Video")</f>
        <v>Video</v>
      </c>
      <c r="X54" s="13" t="str">
        <f>HYPERLINK("https://diamdna.azureedge.net/imaged/gr-35/video.mp4 ","Download")</f>
        <v>Download</v>
      </c>
      <c r="Y54" s="13" t="s">
        <v>42</v>
      </c>
      <c r="Z54" s="13" t="str">
        <f>HYPERLINK("https://diamdna.azureedge.net/reports/1529403482.pdf#zoom=150 ","1529403482")</f>
        <v>1529403482</v>
      </c>
      <c r="AA54" s="13" t="s">
        <v>308</v>
      </c>
      <c r="AB54" s="13">
        <v>2.0299999999999998</v>
      </c>
      <c r="AC54" s="14" t="s">
        <v>91</v>
      </c>
      <c r="AD54" s="13" t="s">
        <v>78</v>
      </c>
      <c r="AE54" s="13">
        <v>16000</v>
      </c>
      <c r="AF54" s="14">
        <v>32479.999999999996</v>
      </c>
      <c r="AG54" s="14">
        <v>-67.5</v>
      </c>
      <c r="AH54" s="14">
        <v>5200</v>
      </c>
      <c r="AI54" s="14">
        <v>10556</v>
      </c>
      <c r="AJ54" s="14" t="s">
        <v>50</v>
      </c>
      <c r="AK54" s="13" t="s">
        <v>46</v>
      </c>
      <c r="AL54" s="13" t="s">
        <v>46</v>
      </c>
      <c r="AM54" s="13" t="s">
        <v>87</v>
      </c>
      <c r="AN54" s="13" t="s">
        <v>309</v>
      </c>
      <c r="AO54" s="13">
        <v>65</v>
      </c>
      <c r="AP54" s="14">
        <v>66.099999999999994</v>
      </c>
      <c r="AQ54" s="14" t="s">
        <v>49</v>
      </c>
      <c r="AR54" s="13">
        <v>0</v>
      </c>
      <c r="AS54" s="14">
        <v>0</v>
      </c>
      <c r="AT54" s="14">
        <v>0</v>
      </c>
      <c r="AU54" s="13" t="s">
        <v>307</v>
      </c>
      <c r="AV54" s="13" t="str">
        <f>HYPERLINK("https://diamdna.azureedge.net/imaged/gr-35/still.jpg ","Image")</f>
        <v>Image</v>
      </c>
      <c r="AW54" s="13" t="str">
        <f>HYPERLINK("https://diamdna.azureedge.net/Vision360.html?d=gr-35&amp;sr=-30&amp;s=30 ","Video")</f>
        <v>Video</v>
      </c>
      <c r="AX54" s="13" t="str">
        <f>HYPERLINK("https://diamdna.azureedge.net/imaged/gr-35/video.mp4 ","Download")</f>
        <v>Download</v>
      </c>
      <c r="AY54" s="13" t="s">
        <v>42</v>
      </c>
      <c r="AZ54" s="13" t="str">
        <f>HYPERLINK("https://diamdna.azureedge.net/reports/1529403482.pdf#zoom=150 ","1529403482")</f>
        <v>1529403482</v>
      </c>
      <c r="BA54" s="13" t="s">
        <v>308</v>
      </c>
      <c r="BB54" s="13">
        <v>2.0299999999999998</v>
      </c>
      <c r="BC54" s="14" t="s">
        <v>91</v>
      </c>
      <c r="BD54" s="13" t="s">
        <v>78</v>
      </c>
      <c r="BE54" s="13">
        <v>16000</v>
      </c>
      <c r="BF54" s="14">
        <v>32479.999999999996</v>
      </c>
      <c r="BG54" s="14">
        <v>-67.5</v>
      </c>
      <c r="BH54" s="14">
        <v>5200</v>
      </c>
      <c r="BI54" s="14">
        <v>10556</v>
      </c>
      <c r="BJ54" s="14" t="s">
        <v>50</v>
      </c>
      <c r="BK54" s="13" t="s">
        <v>46</v>
      </c>
      <c r="BL54" s="13" t="s">
        <v>46</v>
      </c>
      <c r="BM54" s="13" t="s">
        <v>87</v>
      </c>
      <c r="BN54" s="13" t="s">
        <v>309</v>
      </c>
      <c r="BO54" s="13">
        <v>65</v>
      </c>
      <c r="BP54" s="14">
        <v>66.099999999999994</v>
      </c>
      <c r="BQ54" s="14" t="s">
        <v>49</v>
      </c>
      <c r="BR54" s="13">
        <v>0</v>
      </c>
      <c r="BS54" s="14">
        <v>0</v>
      </c>
      <c r="BT54" s="14">
        <v>0</v>
      </c>
      <c r="BU54" s="14">
        <v>0</v>
      </c>
      <c r="BV54" s="14" t="s">
        <v>310</v>
      </c>
      <c r="BW54" s="13" t="s">
        <v>50</v>
      </c>
      <c r="BX54" s="13" t="s">
        <v>311</v>
      </c>
      <c r="BY54" s="13">
        <v>3.6</v>
      </c>
      <c r="BZ54" s="14">
        <v>1.01</v>
      </c>
      <c r="CA54" s="14" t="s">
        <v>52</v>
      </c>
      <c r="CB54" s="13" t="s">
        <v>54</v>
      </c>
      <c r="CC54" s="13"/>
      <c r="CD54" s="13" t="s">
        <v>54</v>
      </c>
      <c r="CE54" s="13" t="s">
        <v>83</v>
      </c>
      <c r="CF54" s="13" t="s">
        <v>56</v>
      </c>
      <c r="CG54" s="13" t="s">
        <v>57</v>
      </c>
      <c r="CH54" s="13" t="s">
        <v>312</v>
      </c>
    </row>
    <row r="55" spans="21:86" x14ac:dyDescent="0.3">
      <c r="U55" s="13" t="s">
        <v>313</v>
      </c>
      <c r="V55" s="13" t="str">
        <f>HYPERLINK("https://diamdna.azureedge.net/imaged/mk26-67/still.jpg ","Image")</f>
        <v>Image</v>
      </c>
      <c r="W55" s="13" t="str">
        <f>HYPERLINK("https://diamdna.azureedge.net/Vision360.html?d=mk26-67&amp;sr=-30&amp;s=30 ","Video")</f>
        <v>Video</v>
      </c>
      <c r="X55" s="13" t="str">
        <f>HYPERLINK("https://diamdna.azureedge.net/imaged/mk26-67/video.mp4 ","Download")</f>
        <v>Download</v>
      </c>
      <c r="Y55" s="13" t="s">
        <v>76</v>
      </c>
      <c r="Z55" s="13" t="str">
        <f>HYPERLINK("https://diamdna.azureedge.net/reports/778681572.pdf#zoom=150 ","778681572")</f>
        <v>778681572</v>
      </c>
      <c r="AA55" s="13" t="s">
        <v>146</v>
      </c>
      <c r="AB55" s="13">
        <v>2.0299999999999998</v>
      </c>
      <c r="AC55" s="14" t="s">
        <v>69</v>
      </c>
      <c r="AD55" s="13" t="s">
        <v>133</v>
      </c>
      <c r="AE55" s="13">
        <v>8500</v>
      </c>
      <c r="AF55" s="14">
        <v>17255</v>
      </c>
      <c r="AG55" s="14">
        <v>-61</v>
      </c>
      <c r="AH55" s="14">
        <v>3315</v>
      </c>
      <c r="AI55" s="14">
        <v>6729.45</v>
      </c>
      <c r="AJ55" s="14" t="s">
        <v>50</v>
      </c>
      <c r="AK55" s="13" t="s">
        <v>46</v>
      </c>
      <c r="AL55" s="13" t="s">
        <v>46</v>
      </c>
      <c r="AM55" s="13" t="s">
        <v>314</v>
      </c>
      <c r="AN55" s="13" t="s">
        <v>315</v>
      </c>
      <c r="AO55" s="13">
        <v>60</v>
      </c>
      <c r="AP55" s="14">
        <v>62.2</v>
      </c>
      <c r="AQ55" s="14" t="s">
        <v>80</v>
      </c>
      <c r="AR55" s="13">
        <v>38.200000000000003</v>
      </c>
      <c r="AS55" s="14">
        <v>15.5</v>
      </c>
      <c r="AT55" s="14">
        <v>39.299999999999997</v>
      </c>
      <c r="AU55" s="13" t="s">
        <v>313</v>
      </c>
      <c r="AV55" s="13" t="str">
        <f>HYPERLINK("https://diamdna.azureedge.net/imaged/mk26-67/still.jpg ","Image")</f>
        <v>Image</v>
      </c>
      <c r="AW55" s="13" t="str">
        <f>HYPERLINK("https://diamdna.azureedge.net/Vision360.html?d=mk26-67&amp;sr=-30&amp;s=30 ","Video")</f>
        <v>Video</v>
      </c>
      <c r="AX55" s="13" t="str">
        <f>HYPERLINK("https://diamdna.azureedge.net/imaged/mk26-67/video.mp4 ","Download")</f>
        <v>Download</v>
      </c>
      <c r="AY55" s="13" t="s">
        <v>76</v>
      </c>
      <c r="AZ55" s="13" t="str">
        <f>HYPERLINK("https://diamdna.azureedge.net/reports/778681572.pdf#zoom=150 ","778681572")</f>
        <v>778681572</v>
      </c>
      <c r="BA55" s="13" t="s">
        <v>146</v>
      </c>
      <c r="BB55" s="13">
        <v>2.0299999999999998</v>
      </c>
      <c r="BC55" s="14" t="s">
        <v>69</v>
      </c>
      <c r="BD55" s="13" t="s">
        <v>133</v>
      </c>
      <c r="BE55" s="13">
        <v>8500</v>
      </c>
      <c r="BF55" s="14">
        <v>17255</v>
      </c>
      <c r="BG55" s="14">
        <v>-61</v>
      </c>
      <c r="BH55" s="14">
        <v>3315</v>
      </c>
      <c r="BI55" s="14">
        <v>6729.45</v>
      </c>
      <c r="BJ55" s="14" t="s">
        <v>50</v>
      </c>
      <c r="BK55" s="13" t="s">
        <v>46</v>
      </c>
      <c r="BL55" s="13" t="s">
        <v>46</v>
      </c>
      <c r="BM55" s="13" t="s">
        <v>314</v>
      </c>
      <c r="BN55" s="13" t="s">
        <v>315</v>
      </c>
      <c r="BO55" s="13">
        <v>60</v>
      </c>
      <c r="BP55" s="14">
        <v>62.2</v>
      </c>
      <c r="BQ55" s="14" t="s">
        <v>80</v>
      </c>
      <c r="BR55" s="13">
        <v>38.200000000000003</v>
      </c>
      <c r="BS55" s="14">
        <v>15.5</v>
      </c>
      <c r="BT55" s="14">
        <v>39.299999999999997</v>
      </c>
      <c r="BU55" s="14">
        <v>42.5</v>
      </c>
      <c r="BV55" s="14"/>
      <c r="BW55" s="13" t="s">
        <v>50</v>
      </c>
      <c r="BX55" s="13" t="s">
        <v>51</v>
      </c>
      <c r="BY55" s="13">
        <v>4.2</v>
      </c>
      <c r="BZ55" s="14">
        <v>1.58</v>
      </c>
      <c r="CA55" s="14" t="s">
        <v>108</v>
      </c>
      <c r="CB55" s="13" t="s">
        <v>54</v>
      </c>
      <c r="CC55" s="13" t="s">
        <v>82</v>
      </c>
      <c r="CD55" s="13" t="s">
        <v>54</v>
      </c>
      <c r="CE55" s="13" t="s">
        <v>143</v>
      </c>
      <c r="CF55" s="13" t="s">
        <v>56</v>
      </c>
      <c r="CG55" s="13" t="s">
        <v>130</v>
      </c>
      <c r="CH55" s="13" t="s">
        <v>316</v>
      </c>
    </row>
    <row r="56" spans="21:86" x14ac:dyDescent="0.3">
      <c r="U56" s="13" t="s">
        <v>317</v>
      </c>
      <c r="V56" s="13" t="str">
        <f>HYPERLINK("https://diamdna.azureedge.net/imaged/mk26-74/still.jpg ","Image")</f>
        <v>Image</v>
      </c>
      <c r="W56" s="13" t="str">
        <f>HYPERLINK("https://diamdna.azureedge.net/Vision360.html?d=mk26-74&amp;sr=-30&amp;s=30 ","Video")</f>
        <v>Video</v>
      </c>
      <c r="X56" s="13" t="str">
        <f>HYPERLINK("https://diamdna.azureedge.net/imaged/mk26-74/video.mp4 ","Download")</f>
        <v>Download</v>
      </c>
      <c r="Y56" s="13" t="s">
        <v>42</v>
      </c>
      <c r="Z56" s="13" t="str">
        <f>HYPERLINK("https://diamdna.azureedge.net/reports/7548697721.pdf#zoom=150 ","7548697721")</f>
        <v>7548697721</v>
      </c>
      <c r="AA56" s="13" t="s">
        <v>118</v>
      </c>
      <c r="AB56" s="13">
        <v>2.0299999999999998</v>
      </c>
      <c r="AC56" s="14" t="s">
        <v>69</v>
      </c>
      <c r="AD56" s="13" t="s">
        <v>60</v>
      </c>
      <c r="AE56" s="13">
        <v>7500</v>
      </c>
      <c r="AF56" s="14">
        <v>15224.999999999998</v>
      </c>
      <c r="AG56" s="14">
        <v>-59</v>
      </c>
      <c r="AH56" s="14">
        <v>3075</v>
      </c>
      <c r="AI56" s="14">
        <v>6242.25</v>
      </c>
      <c r="AJ56" s="14" t="s">
        <v>50</v>
      </c>
      <c r="AK56" s="13" t="s">
        <v>46</v>
      </c>
      <c r="AL56" s="13" t="s">
        <v>46</v>
      </c>
      <c r="AM56" s="13" t="s">
        <v>49</v>
      </c>
      <c r="AN56" s="13" t="s">
        <v>318</v>
      </c>
      <c r="AO56" s="13">
        <v>60</v>
      </c>
      <c r="AP56" s="14">
        <v>57.7</v>
      </c>
      <c r="AQ56" s="14" t="s">
        <v>49</v>
      </c>
      <c r="AR56" s="13">
        <v>0</v>
      </c>
      <c r="AS56" s="14">
        <v>0</v>
      </c>
      <c r="AT56" s="14">
        <v>0</v>
      </c>
      <c r="AU56" s="13" t="s">
        <v>317</v>
      </c>
      <c r="AV56" s="13" t="str">
        <f>HYPERLINK("https://diamdna.azureedge.net/imaged/mk26-74/still.jpg ","Image")</f>
        <v>Image</v>
      </c>
      <c r="AW56" s="13" t="str">
        <f>HYPERLINK("https://diamdna.azureedge.net/Vision360.html?d=mk26-74&amp;sr=-30&amp;s=30 ","Video")</f>
        <v>Video</v>
      </c>
      <c r="AX56" s="13" t="str">
        <f>HYPERLINK("https://diamdna.azureedge.net/imaged/mk26-74/video.mp4 ","Download")</f>
        <v>Download</v>
      </c>
      <c r="AY56" s="13" t="s">
        <v>42</v>
      </c>
      <c r="AZ56" s="13" t="str">
        <f>HYPERLINK("https://diamdna.azureedge.net/reports/7548697721.pdf#zoom=150 ","7548697721")</f>
        <v>7548697721</v>
      </c>
      <c r="BA56" s="13" t="s">
        <v>118</v>
      </c>
      <c r="BB56" s="13">
        <v>2.0299999999999998</v>
      </c>
      <c r="BC56" s="14" t="s">
        <v>69</v>
      </c>
      <c r="BD56" s="13" t="s">
        <v>60</v>
      </c>
      <c r="BE56" s="13">
        <v>7500</v>
      </c>
      <c r="BF56" s="14">
        <v>15224.999999999998</v>
      </c>
      <c r="BG56" s="14">
        <v>-59</v>
      </c>
      <c r="BH56" s="14">
        <v>3075</v>
      </c>
      <c r="BI56" s="14">
        <v>6242.25</v>
      </c>
      <c r="BJ56" s="14" t="s">
        <v>50</v>
      </c>
      <c r="BK56" s="13" t="s">
        <v>46</v>
      </c>
      <c r="BL56" s="13" t="s">
        <v>46</v>
      </c>
      <c r="BM56" s="13" t="s">
        <v>49</v>
      </c>
      <c r="BN56" s="13" t="s">
        <v>318</v>
      </c>
      <c r="BO56" s="13">
        <v>60</v>
      </c>
      <c r="BP56" s="14">
        <v>57.7</v>
      </c>
      <c r="BQ56" s="14" t="s">
        <v>49</v>
      </c>
      <c r="BR56" s="13">
        <v>0</v>
      </c>
      <c r="BS56" s="14">
        <v>0</v>
      </c>
      <c r="BT56" s="14">
        <v>0</v>
      </c>
      <c r="BU56" s="14">
        <v>0</v>
      </c>
      <c r="BV56" s="14" t="s">
        <v>319</v>
      </c>
      <c r="BW56" s="13" t="s">
        <v>50</v>
      </c>
      <c r="BX56" s="13" t="s">
        <v>107</v>
      </c>
      <c r="BY56" s="13">
        <v>4.3499999999999996</v>
      </c>
      <c r="BZ56" s="14">
        <v>0.86</v>
      </c>
      <c r="CA56" s="14" t="s">
        <v>108</v>
      </c>
      <c r="CB56" s="13" t="s">
        <v>54</v>
      </c>
      <c r="CC56" s="13" t="s">
        <v>320</v>
      </c>
      <c r="CD56" s="13" t="s">
        <v>54</v>
      </c>
      <c r="CE56" s="13" t="s">
        <v>143</v>
      </c>
      <c r="CF56" s="13" t="s">
        <v>56</v>
      </c>
      <c r="CG56" s="13" t="s">
        <v>65</v>
      </c>
      <c r="CH56" s="13" t="s">
        <v>58</v>
      </c>
    </row>
    <row r="57" spans="21:86" x14ac:dyDescent="0.3">
      <c r="U57" s="13" t="s">
        <v>321</v>
      </c>
      <c r="V57" s="13" t="str">
        <f>HYPERLINK("https://diamdna.azureedge.net/imaged/kn25-13/still.jpg ","Image")</f>
        <v>Image</v>
      </c>
      <c r="W57" s="13" t="str">
        <f>HYPERLINK("https://diamdna.azureedge.net/Vision360.html?d=kn25-13&amp;sr=-30&amp;s=30 ","Video")</f>
        <v>Video</v>
      </c>
      <c r="X57" s="13" t="str">
        <f>HYPERLINK("https://diamdna.azureedge.net/imaged/kn25-13/video.mp4 ","Download")</f>
        <v>Download</v>
      </c>
      <c r="Y57" s="13" t="s">
        <v>76</v>
      </c>
      <c r="Z57" s="13" t="str">
        <f>HYPERLINK("https://diamdna.azureedge.net/reports/761504955.pdf#zoom=150 ","761504955")</f>
        <v>761504955</v>
      </c>
      <c r="AA57" s="13" t="s">
        <v>118</v>
      </c>
      <c r="AB57" s="13">
        <v>2.0299999999999998</v>
      </c>
      <c r="AC57" s="14" t="s">
        <v>44</v>
      </c>
      <c r="AD57" s="13" t="s">
        <v>78</v>
      </c>
      <c r="AE57" s="13">
        <v>7400</v>
      </c>
      <c r="AF57" s="14">
        <v>15021.999999999998</v>
      </c>
      <c r="AG57" s="14">
        <v>-65</v>
      </c>
      <c r="AH57" s="14">
        <v>2590</v>
      </c>
      <c r="AI57" s="14">
        <v>5257.7</v>
      </c>
      <c r="AJ57" s="14" t="s">
        <v>50</v>
      </c>
      <c r="AK57" s="13" t="s">
        <v>46</v>
      </c>
      <c r="AL57" s="13" t="s">
        <v>46</v>
      </c>
      <c r="AM57" s="13" t="s">
        <v>314</v>
      </c>
      <c r="AN57" s="13" t="s">
        <v>322</v>
      </c>
      <c r="AO57" s="13">
        <v>56</v>
      </c>
      <c r="AP57" s="14">
        <v>58.9</v>
      </c>
      <c r="AQ57" s="14" t="s">
        <v>80</v>
      </c>
      <c r="AR57" s="13">
        <v>36.1</v>
      </c>
      <c r="AS57" s="14">
        <v>15.5</v>
      </c>
      <c r="AT57" s="14">
        <v>39.700000000000003</v>
      </c>
      <c r="AU57" s="13" t="s">
        <v>321</v>
      </c>
      <c r="AV57" s="13" t="str">
        <f>HYPERLINK("https://diamdna.azureedge.net/imaged/kn25-13/still.jpg ","Image")</f>
        <v>Image</v>
      </c>
      <c r="AW57" s="13" t="str">
        <f>HYPERLINK("https://diamdna.azureedge.net/Vision360.html?d=kn25-13&amp;sr=-30&amp;s=30 ","Video")</f>
        <v>Video</v>
      </c>
      <c r="AX57" s="13" t="str">
        <f>HYPERLINK("https://diamdna.azureedge.net/imaged/kn25-13/video.mp4 ","Download")</f>
        <v>Download</v>
      </c>
      <c r="AY57" s="13" t="s">
        <v>76</v>
      </c>
      <c r="AZ57" s="13" t="str">
        <f>HYPERLINK("https://diamdna.azureedge.net/reports/761504955.pdf#zoom=150 ","761504955")</f>
        <v>761504955</v>
      </c>
      <c r="BA57" s="13" t="s">
        <v>118</v>
      </c>
      <c r="BB57" s="13">
        <v>2.0299999999999998</v>
      </c>
      <c r="BC57" s="14" t="s">
        <v>44</v>
      </c>
      <c r="BD57" s="13" t="s">
        <v>78</v>
      </c>
      <c r="BE57" s="13">
        <v>7400</v>
      </c>
      <c r="BF57" s="14">
        <v>15021.999999999998</v>
      </c>
      <c r="BG57" s="14">
        <v>-65</v>
      </c>
      <c r="BH57" s="14">
        <v>2590</v>
      </c>
      <c r="BI57" s="14">
        <v>5257.7</v>
      </c>
      <c r="BJ57" s="14" t="s">
        <v>50</v>
      </c>
      <c r="BK57" s="13" t="s">
        <v>46</v>
      </c>
      <c r="BL57" s="13" t="s">
        <v>46</v>
      </c>
      <c r="BM57" s="13" t="s">
        <v>314</v>
      </c>
      <c r="BN57" s="13" t="s">
        <v>322</v>
      </c>
      <c r="BO57" s="13">
        <v>56</v>
      </c>
      <c r="BP57" s="14">
        <v>58.9</v>
      </c>
      <c r="BQ57" s="14" t="s">
        <v>80</v>
      </c>
      <c r="BR57" s="13">
        <v>36.1</v>
      </c>
      <c r="BS57" s="14">
        <v>15.5</v>
      </c>
      <c r="BT57" s="14">
        <v>39.700000000000003</v>
      </c>
      <c r="BU57" s="14">
        <v>39.5</v>
      </c>
      <c r="BV57" s="14"/>
      <c r="BW57" s="13" t="s">
        <v>50</v>
      </c>
      <c r="BX57" s="13" t="s">
        <v>177</v>
      </c>
      <c r="BY57" s="13">
        <v>3.7</v>
      </c>
      <c r="BZ57" s="14">
        <v>0.85</v>
      </c>
      <c r="CA57" s="14" t="s">
        <v>52</v>
      </c>
      <c r="CB57" s="13" t="s">
        <v>54</v>
      </c>
      <c r="CC57" s="13" t="s">
        <v>82</v>
      </c>
      <c r="CD57" s="13" t="s">
        <v>54</v>
      </c>
      <c r="CE57" s="13" t="s">
        <v>110</v>
      </c>
      <c r="CF57" s="13" t="s">
        <v>56</v>
      </c>
      <c r="CG57" s="13" t="s">
        <v>130</v>
      </c>
      <c r="CH57" s="13" t="s">
        <v>323</v>
      </c>
    </row>
    <row r="58" spans="21:86" x14ac:dyDescent="0.3">
      <c r="U58" s="13" t="s">
        <v>324</v>
      </c>
      <c r="V58" s="13" t="str">
        <f>HYPERLINK("https://diamdna.azureedge.net/imaged/kd25-18/still.jpg ","Image")</f>
        <v>Image</v>
      </c>
      <c r="W58" s="13" t="str">
        <f>HYPERLINK("https://diamdna.azureedge.net/Vision360.html?d=kd25-18&amp;sr=-30&amp;s=30 ","Video")</f>
        <v>Video</v>
      </c>
      <c r="X58" s="13" t="str">
        <f>HYPERLINK("https://diamdna.azureedge.net/imaged/kd25-18/video.mp4 ","Download")</f>
        <v>Download</v>
      </c>
      <c r="Y58" s="13" t="s">
        <v>76</v>
      </c>
      <c r="Z58" s="13" t="str">
        <f>HYPERLINK("https://diamdna.azureedge.net/reports/749567219.pdf#zoom=150 ","749567219")</f>
        <v>749567219</v>
      </c>
      <c r="AA58" s="13" t="s">
        <v>43</v>
      </c>
      <c r="AB58" s="13">
        <v>2.02</v>
      </c>
      <c r="AC58" s="14" t="s">
        <v>91</v>
      </c>
      <c r="AD58" s="13" t="s">
        <v>261</v>
      </c>
      <c r="AE58" s="13">
        <v>8000</v>
      </c>
      <c r="AF58" s="14">
        <v>16160</v>
      </c>
      <c r="AG58" s="14">
        <v>-57</v>
      </c>
      <c r="AH58" s="14">
        <v>3440</v>
      </c>
      <c r="AI58" s="14">
        <v>6948.8</v>
      </c>
      <c r="AJ58" s="14" t="s">
        <v>120</v>
      </c>
      <c r="AK58" s="13" t="s">
        <v>46</v>
      </c>
      <c r="AL58" s="13" t="s">
        <v>46</v>
      </c>
      <c r="AM58" s="13" t="s">
        <v>49</v>
      </c>
      <c r="AN58" s="13" t="s">
        <v>325</v>
      </c>
      <c r="AO58" s="13">
        <v>57</v>
      </c>
      <c r="AP58" s="14">
        <v>64.3</v>
      </c>
      <c r="AQ58" s="14" t="s">
        <v>80</v>
      </c>
      <c r="AR58" s="13">
        <v>37.5</v>
      </c>
      <c r="AS58" s="14">
        <v>16.5</v>
      </c>
      <c r="AT58" s="14">
        <v>40.4</v>
      </c>
      <c r="AU58" s="13" t="s">
        <v>324</v>
      </c>
      <c r="AV58" s="13" t="str">
        <f>HYPERLINK("https://diamdna.azureedge.net/imaged/kd25-18/still.jpg ","Image")</f>
        <v>Image</v>
      </c>
      <c r="AW58" s="13" t="str">
        <f>HYPERLINK("https://diamdna.azureedge.net/Vision360.html?d=kd25-18&amp;sr=-30&amp;s=30 ","Video")</f>
        <v>Video</v>
      </c>
      <c r="AX58" s="13" t="str">
        <f>HYPERLINK("https://diamdna.azureedge.net/imaged/kd25-18/video.mp4 ","Download")</f>
        <v>Download</v>
      </c>
      <c r="AY58" s="13" t="s">
        <v>76</v>
      </c>
      <c r="AZ58" s="13" t="str">
        <f>HYPERLINK("https://diamdna.azureedge.net/reports/749567219.pdf#zoom=150 ","749567219")</f>
        <v>749567219</v>
      </c>
      <c r="BA58" s="13" t="s">
        <v>43</v>
      </c>
      <c r="BB58" s="13">
        <v>2.02</v>
      </c>
      <c r="BC58" s="14" t="s">
        <v>91</v>
      </c>
      <c r="BD58" s="13" t="s">
        <v>261</v>
      </c>
      <c r="BE58" s="13">
        <v>8000</v>
      </c>
      <c r="BF58" s="14">
        <v>16160</v>
      </c>
      <c r="BG58" s="14">
        <v>-57</v>
      </c>
      <c r="BH58" s="14">
        <v>3440</v>
      </c>
      <c r="BI58" s="14">
        <v>6948.8</v>
      </c>
      <c r="BJ58" s="14" t="s">
        <v>120</v>
      </c>
      <c r="BK58" s="13" t="s">
        <v>46</v>
      </c>
      <c r="BL58" s="13" t="s">
        <v>46</v>
      </c>
      <c r="BM58" s="13" t="s">
        <v>49</v>
      </c>
      <c r="BN58" s="13" t="s">
        <v>325</v>
      </c>
      <c r="BO58" s="13">
        <v>57</v>
      </c>
      <c r="BP58" s="14">
        <v>64.3</v>
      </c>
      <c r="BQ58" s="14" t="s">
        <v>80</v>
      </c>
      <c r="BR58" s="13">
        <v>37.5</v>
      </c>
      <c r="BS58" s="14">
        <v>16.5</v>
      </c>
      <c r="BT58" s="14">
        <v>40.4</v>
      </c>
      <c r="BU58" s="14">
        <v>42.5</v>
      </c>
      <c r="BV58" s="14"/>
      <c r="BW58" s="13" t="s">
        <v>50</v>
      </c>
      <c r="BX58" s="13" t="s">
        <v>72</v>
      </c>
      <c r="BY58" s="13">
        <v>5.4</v>
      </c>
      <c r="BZ58" s="14">
        <v>1.01</v>
      </c>
      <c r="CA58" s="14" t="s">
        <v>52</v>
      </c>
      <c r="CB58" s="13" t="s">
        <v>53</v>
      </c>
      <c r="CC58" s="13" t="s">
        <v>82</v>
      </c>
      <c r="CD58" s="13" t="s">
        <v>54</v>
      </c>
      <c r="CE58" s="13" t="s">
        <v>143</v>
      </c>
      <c r="CF58" s="13" t="s">
        <v>56</v>
      </c>
      <c r="CG58" s="13" t="s">
        <v>130</v>
      </c>
      <c r="CH58" s="13" t="s">
        <v>323</v>
      </c>
    </row>
    <row r="59" spans="21:86" x14ac:dyDescent="0.3">
      <c r="U59" s="13" t="s">
        <v>326</v>
      </c>
      <c r="V59" s="13" t="str">
        <f>HYPERLINK("https://diamdna.azureedge.net/imaged/lv25-104/still.jpg ","Image")</f>
        <v>Image</v>
      </c>
      <c r="W59" s="13" t="str">
        <f>HYPERLINK("https://diamdna.azureedge.net/Vision360.html?d=lv25-104&amp;sr=-30&amp;s=30 ","Video")</f>
        <v>Video</v>
      </c>
      <c r="X59" s="13" t="str">
        <f>HYPERLINK("https://diamdna.azureedge.net/imaged/lv25-104/video.mp4 ","Download")</f>
        <v>Download</v>
      </c>
      <c r="Y59" s="13" t="s">
        <v>76</v>
      </c>
      <c r="Z59" s="13" t="str">
        <f>HYPERLINK("https://diamdna.azureedge.net/reports/769653771.pdf#zoom=150 ","769653771")</f>
        <v>769653771</v>
      </c>
      <c r="AA59" s="13" t="s">
        <v>43</v>
      </c>
      <c r="AB59" s="13">
        <v>2.02</v>
      </c>
      <c r="AC59" s="14" t="s">
        <v>194</v>
      </c>
      <c r="AD59" s="13" t="s">
        <v>60</v>
      </c>
      <c r="AE59" s="13">
        <v>9800</v>
      </c>
      <c r="AF59" s="14">
        <v>19796</v>
      </c>
      <c r="AG59" s="14">
        <v>-65</v>
      </c>
      <c r="AH59" s="14">
        <v>3430</v>
      </c>
      <c r="AI59" s="14">
        <v>6928.6</v>
      </c>
      <c r="AJ59" s="14" t="s">
        <v>46</v>
      </c>
      <c r="AK59" s="13" t="s">
        <v>46</v>
      </c>
      <c r="AL59" s="13" t="s">
        <v>46</v>
      </c>
      <c r="AM59" s="13" t="s">
        <v>49</v>
      </c>
      <c r="AN59" s="13" t="s">
        <v>327</v>
      </c>
      <c r="AO59" s="13">
        <v>56</v>
      </c>
      <c r="AP59" s="14">
        <v>62.3</v>
      </c>
      <c r="AQ59" s="14" t="s">
        <v>80</v>
      </c>
      <c r="AR59" s="13">
        <v>36</v>
      </c>
      <c r="AS59" s="14">
        <v>16</v>
      </c>
      <c r="AT59" s="14">
        <v>40.6</v>
      </c>
      <c r="AU59" s="13" t="s">
        <v>326</v>
      </c>
      <c r="AV59" s="13" t="str">
        <f>HYPERLINK("https://diamdna.azureedge.net/imaged/lv25-104/still.jpg ","Image")</f>
        <v>Image</v>
      </c>
      <c r="AW59" s="13" t="str">
        <f>HYPERLINK("https://diamdna.azureedge.net/Vision360.html?d=lv25-104&amp;sr=-30&amp;s=30 ","Video")</f>
        <v>Video</v>
      </c>
      <c r="AX59" s="13" t="str">
        <f>HYPERLINK("https://diamdna.azureedge.net/imaged/lv25-104/video.mp4 ","Download")</f>
        <v>Download</v>
      </c>
      <c r="AY59" s="13" t="s">
        <v>76</v>
      </c>
      <c r="AZ59" s="13" t="str">
        <f>HYPERLINK("https://diamdna.azureedge.net/reports/769653771.pdf#zoom=150 ","769653771")</f>
        <v>769653771</v>
      </c>
      <c r="BA59" s="13" t="s">
        <v>43</v>
      </c>
      <c r="BB59" s="13">
        <v>2.02</v>
      </c>
      <c r="BC59" s="14" t="s">
        <v>194</v>
      </c>
      <c r="BD59" s="13" t="s">
        <v>60</v>
      </c>
      <c r="BE59" s="13">
        <v>9800</v>
      </c>
      <c r="BF59" s="14">
        <v>19796</v>
      </c>
      <c r="BG59" s="14">
        <v>-65</v>
      </c>
      <c r="BH59" s="14">
        <v>3430</v>
      </c>
      <c r="BI59" s="14">
        <v>6928.6</v>
      </c>
      <c r="BJ59" s="14" t="s">
        <v>46</v>
      </c>
      <c r="BK59" s="13" t="s">
        <v>46</v>
      </c>
      <c r="BL59" s="13" t="s">
        <v>46</v>
      </c>
      <c r="BM59" s="13" t="s">
        <v>49</v>
      </c>
      <c r="BN59" s="13" t="s">
        <v>327</v>
      </c>
      <c r="BO59" s="13">
        <v>56</v>
      </c>
      <c r="BP59" s="14">
        <v>62.3</v>
      </c>
      <c r="BQ59" s="14" t="s">
        <v>80</v>
      </c>
      <c r="BR59" s="13">
        <v>36</v>
      </c>
      <c r="BS59" s="14">
        <v>16</v>
      </c>
      <c r="BT59" s="14">
        <v>40.6</v>
      </c>
      <c r="BU59" s="14">
        <v>43</v>
      </c>
      <c r="BV59" s="14"/>
      <c r="BW59" s="13" t="s">
        <v>50</v>
      </c>
      <c r="BX59" s="13" t="s">
        <v>328</v>
      </c>
      <c r="BY59" s="13">
        <v>3.5</v>
      </c>
      <c r="BZ59" s="14">
        <v>1.01</v>
      </c>
      <c r="CA59" s="14" t="s">
        <v>108</v>
      </c>
      <c r="CB59" s="13" t="s">
        <v>53</v>
      </c>
      <c r="CC59" s="13" t="s">
        <v>155</v>
      </c>
      <c r="CD59" s="13" t="s">
        <v>54</v>
      </c>
      <c r="CE59" s="13" t="s">
        <v>93</v>
      </c>
      <c r="CF59" s="13" t="s">
        <v>56</v>
      </c>
      <c r="CG59" s="13" t="s">
        <v>57</v>
      </c>
      <c r="CH59" s="13" t="s">
        <v>111</v>
      </c>
    </row>
    <row r="60" spans="21:86" x14ac:dyDescent="0.3">
      <c r="U60" s="13" t="s">
        <v>329</v>
      </c>
      <c r="V60" s="13" t="str">
        <f>HYPERLINK("https://diamdna.azureedge.net/imaged/oq-40/still.jpg ","Image")</f>
        <v>Image</v>
      </c>
      <c r="W60" s="13" t="str">
        <f>HYPERLINK("https://diamdna.azureedge.net/Vision360.html?d=oq-40&amp;sr=-30&amp;s=30 ","Video")</f>
        <v>Video</v>
      </c>
      <c r="X60" s="13" t="str">
        <f>HYPERLINK("https://diamdna.azureedge.net/imaged/oq-40/video.mp4 ","Download")</f>
        <v>Download</v>
      </c>
      <c r="Y60" s="13" t="s">
        <v>42</v>
      </c>
      <c r="Z60" s="13" t="str">
        <f>HYPERLINK("https://diamdna.azureedge.net/reports/1457159045.pdf#zoom=150 ","1457159045")</f>
        <v>1457159045</v>
      </c>
      <c r="AA60" s="13" t="s">
        <v>43</v>
      </c>
      <c r="AB60" s="13">
        <v>2.02</v>
      </c>
      <c r="AC60" s="14" t="s">
        <v>288</v>
      </c>
      <c r="AD60" s="13" t="s">
        <v>330</v>
      </c>
      <c r="AE60" s="13">
        <v>3500</v>
      </c>
      <c r="AF60" s="14">
        <v>7070</v>
      </c>
      <c r="AG60" s="14">
        <v>-42</v>
      </c>
      <c r="AH60" s="14">
        <v>2030</v>
      </c>
      <c r="AI60" s="14">
        <v>4100.6000000000004</v>
      </c>
      <c r="AJ60" s="14" t="s">
        <v>46</v>
      </c>
      <c r="AK60" s="13" t="s">
        <v>46</v>
      </c>
      <c r="AL60" s="13" t="s">
        <v>46</v>
      </c>
      <c r="AM60" s="13" t="s">
        <v>134</v>
      </c>
      <c r="AN60" s="13" t="s">
        <v>331</v>
      </c>
      <c r="AO60" s="13">
        <v>57</v>
      </c>
      <c r="AP60" s="14">
        <v>62.9</v>
      </c>
      <c r="AQ60" s="14" t="s">
        <v>49</v>
      </c>
      <c r="AR60" s="13">
        <v>36.5</v>
      </c>
      <c r="AS60" s="14">
        <v>16</v>
      </c>
      <c r="AT60" s="14">
        <v>41</v>
      </c>
      <c r="AU60" s="13" t="s">
        <v>329</v>
      </c>
      <c r="AV60" s="13" t="str">
        <f>HYPERLINK("https://diamdna.azureedge.net/imaged/oq-40/still.jpg ","Image")</f>
        <v>Image</v>
      </c>
      <c r="AW60" s="13" t="str">
        <f>HYPERLINK("https://diamdna.azureedge.net/Vision360.html?d=oq-40&amp;sr=-30&amp;s=30 ","Video")</f>
        <v>Video</v>
      </c>
      <c r="AX60" s="13" t="str">
        <f>HYPERLINK("https://diamdna.azureedge.net/imaged/oq-40/video.mp4 ","Download")</f>
        <v>Download</v>
      </c>
      <c r="AY60" s="13" t="s">
        <v>42</v>
      </c>
      <c r="AZ60" s="13" t="str">
        <f>HYPERLINK("https://diamdna.azureedge.net/reports/1457159045.pdf#zoom=150 ","1457159045")</f>
        <v>1457159045</v>
      </c>
      <c r="BA60" s="13" t="s">
        <v>43</v>
      </c>
      <c r="BB60" s="13">
        <v>2.02</v>
      </c>
      <c r="BC60" s="14" t="s">
        <v>288</v>
      </c>
      <c r="BD60" s="13" t="s">
        <v>330</v>
      </c>
      <c r="BE60" s="13">
        <v>3500</v>
      </c>
      <c r="BF60" s="14">
        <v>7070</v>
      </c>
      <c r="BG60" s="14">
        <v>-42</v>
      </c>
      <c r="BH60" s="14">
        <v>2030</v>
      </c>
      <c r="BI60" s="14">
        <v>4100.6000000000004</v>
      </c>
      <c r="BJ60" s="14" t="s">
        <v>46</v>
      </c>
      <c r="BK60" s="13" t="s">
        <v>46</v>
      </c>
      <c r="BL60" s="13" t="s">
        <v>46</v>
      </c>
      <c r="BM60" s="13" t="s">
        <v>134</v>
      </c>
      <c r="BN60" s="13" t="s">
        <v>331</v>
      </c>
      <c r="BO60" s="13">
        <v>57</v>
      </c>
      <c r="BP60" s="14">
        <v>62.9</v>
      </c>
      <c r="BQ60" s="14" t="s">
        <v>49</v>
      </c>
      <c r="BR60" s="13">
        <v>36.5</v>
      </c>
      <c r="BS60" s="14">
        <v>16</v>
      </c>
      <c r="BT60" s="14">
        <v>41</v>
      </c>
      <c r="BU60" s="14">
        <v>43.5</v>
      </c>
      <c r="BV60" s="14" t="s">
        <v>332</v>
      </c>
      <c r="BW60" s="13" t="s">
        <v>53</v>
      </c>
      <c r="BX60" s="13" t="s">
        <v>333</v>
      </c>
      <c r="BY60" s="13">
        <v>3.5</v>
      </c>
      <c r="BZ60" s="14">
        <v>0</v>
      </c>
      <c r="CA60" s="14" t="s">
        <v>334</v>
      </c>
      <c r="CB60" s="13" t="s">
        <v>54</v>
      </c>
      <c r="CC60" s="13" t="s">
        <v>254</v>
      </c>
      <c r="CD60" s="13" t="s">
        <v>54</v>
      </c>
      <c r="CE60" s="13" t="s">
        <v>93</v>
      </c>
      <c r="CF60" s="13" t="s">
        <v>56</v>
      </c>
      <c r="CG60" s="13" t="s">
        <v>130</v>
      </c>
      <c r="CH60" s="13" t="s">
        <v>335</v>
      </c>
    </row>
    <row r="61" spans="21:86" x14ac:dyDescent="0.3">
      <c r="U61" s="13" t="s">
        <v>336</v>
      </c>
      <c r="V61" s="13" t="str">
        <f>HYPERLINK("https://diamdna.azureedge.net/imaged/bdt-35/still.jpg ","Image")</f>
        <v>Image</v>
      </c>
      <c r="W61" s="13" t="str">
        <f>HYPERLINK("https://diamdna.azureedge.net/Vision360.html?d=bdt-35&amp;sr=-30&amp;s=30 ","Video")</f>
        <v>Video</v>
      </c>
      <c r="X61" s="13" t="str">
        <f>HYPERLINK("https://diamdna.azureedge.net/imaged/bdt-35/video.mp4 ","Download")</f>
        <v>Download</v>
      </c>
      <c r="Y61" s="13" t="s">
        <v>42</v>
      </c>
      <c r="Z61" s="13" t="str">
        <f>HYPERLINK("https://diamdna.azureedge.net/reports/7543849514.pdf#zoom=150 ","7543849514")</f>
        <v>7543849514</v>
      </c>
      <c r="AA61" s="13" t="s">
        <v>68</v>
      </c>
      <c r="AB61" s="13">
        <v>2.02</v>
      </c>
      <c r="AC61" s="14" t="s">
        <v>288</v>
      </c>
      <c r="AD61" s="13" t="s">
        <v>133</v>
      </c>
      <c r="AE61" s="13">
        <v>10700</v>
      </c>
      <c r="AF61" s="14">
        <v>21614</v>
      </c>
      <c r="AG61" s="14">
        <v>-49</v>
      </c>
      <c r="AH61" s="14">
        <v>5457</v>
      </c>
      <c r="AI61" s="14">
        <v>11023.14</v>
      </c>
      <c r="AJ61" s="14" t="s">
        <v>50</v>
      </c>
      <c r="AK61" s="13" t="s">
        <v>46</v>
      </c>
      <c r="AL61" s="13" t="s">
        <v>46</v>
      </c>
      <c r="AM61" s="13" t="s">
        <v>134</v>
      </c>
      <c r="AN61" s="13" t="s">
        <v>337</v>
      </c>
      <c r="AO61" s="13">
        <v>67</v>
      </c>
      <c r="AP61" s="14">
        <v>68.400000000000006</v>
      </c>
      <c r="AQ61" s="14" t="s">
        <v>49</v>
      </c>
      <c r="AR61" s="13">
        <v>47.4</v>
      </c>
      <c r="AS61" s="14">
        <v>0</v>
      </c>
      <c r="AT61" s="14">
        <v>0</v>
      </c>
      <c r="AU61" s="13" t="s">
        <v>336</v>
      </c>
      <c r="AV61" s="13" t="str">
        <f>HYPERLINK("https://diamdna.azureedge.net/imaged/bdt-35/still.jpg ","Image")</f>
        <v>Image</v>
      </c>
      <c r="AW61" s="13" t="str">
        <f>HYPERLINK("https://diamdna.azureedge.net/Vision360.html?d=bdt-35&amp;sr=-30&amp;s=30 ","Video")</f>
        <v>Video</v>
      </c>
      <c r="AX61" s="13" t="str">
        <f>HYPERLINK("https://diamdna.azureedge.net/imaged/bdt-35/video.mp4 ","Download")</f>
        <v>Download</v>
      </c>
      <c r="AY61" s="13" t="s">
        <v>42</v>
      </c>
      <c r="AZ61" s="13" t="str">
        <f>HYPERLINK("https://diamdna.azureedge.net/reports/7543849514.pdf#zoom=150 ","7543849514")</f>
        <v>7543849514</v>
      </c>
      <c r="BA61" s="13" t="s">
        <v>68</v>
      </c>
      <c r="BB61" s="13">
        <v>2.02</v>
      </c>
      <c r="BC61" s="14" t="s">
        <v>288</v>
      </c>
      <c r="BD61" s="13" t="s">
        <v>133</v>
      </c>
      <c r="BE61" s="13">
        <v>10700</v>
      </c>
      <c r="BF61" s="14">
        <v>21614</v>
      </c>
      <c r="BG61" s="14">
        <v>-49</v>
      </c>
      <c r="BH61" s="14">
        <v>5457</v>
      </c>
      <c r="BI61" s="14">
        <v>11023.14</v>
      </c>
      <c r="BJ61" s="14" t="s">
        <v>50</v>
      </c>
      <c r="BK61" s="13" t="s">
        <v>46</v>
      </c>
      <c r="BL61" s="13" t="s">
        <v>46</v>
      </c>
      <c r="BM61" s="13" t="s">
        <v>134</v>
      </c>
      <c r="BN61" s="13" t="s">
        <v>337</v>
      </c>
      <c r="BO61" s="13">
        <v>67</v>
      </c>
      <c r="BP61" s="14">
        <v>68.400000000000006</v>
      </c>
      <c r="BQ61" s="14" t="s">
        <v>49</v>
      </c>
      <c r="BR61" s="13">
        <v>47.4</v>
      </c>
      <c r="BS61" s="14">
        <v>0</v>
      </c>
      <c r="BT61" s="14">
        <v>0</v>
      </c>
      <c r="BU61" s="14">
        <v>0</v>
      </c>
      <c r="BV61" s="14" t="s">
        <v>338</v>
      </c>
      <c r="BW61" s="13" t="s">
        <v>50</v>
      </c>
      <c r="BX61" s="13" t="s">
        <v>177</v>
      </c>
      <c r="BY61" s="13">
        <v>3.6</v>
      </c>
      <c r="BZ61" s="14">
        <v>1.38</v>
      </c>
      <c r="CA61" s="14" t="s">
        <v>99</v>
      </c>
      <c r="CB61" s="13" t="s">
        <v>54</v>
      </c>
      <c r="CC61" s="13" t="s">
        <v>203</v>
      </c>
      <c r="CD61" s="13" t="s">
        <v>54</v>
      </c>
      <c r="CE61" s="13" t="s">
        <v>110</v>
      </c>
      <c r="CF61" s="13" t="s">
        <v>339</v>
      </c>
      <c r="CG61" s="13" t="s">
        <v>57</v>
      </c>
      <c r="CH61" s="13" t="s">
        <v>340</v>
      </c>
    </row>
    <row r="62" spans="21:86" x14ac:dyDescent="0.3">
      <c r="U62" s="13" t="s">
        <v>341</v>
      </c>
      <c r="V62" s="13" t="str">
        <f>HYPERLINK("https://diamdna.azureedge.net/imaged/lr25-38/still.jpg ","Image")</f>
        <v>Image</v>
      </c>
      <c r="W62" s="13" t="str">
        <f>HYPERLINK("https://diamdna.azureedge.net/Vision360.html?d=lr25-38&amp;sr=-30&amp;s=30 ","Video")</f>
        <v>Video</v>
      </c>
      <c r="X62" s="13" t="str">
        <f>HYPERLINK("https://diamdna.azureedge.net/imaged/lr25-38/video.mp4 ","Download")</f>
        <v>Download</v>
      </c>
      <c r="Y62" s="13" t="s">
        <v>42</v>
      </c>
      <c r="Z62" s="13" t="str">
        <f>HYPERLINK("https://diamdna.azureedge.net/reports/6541485513.pdf#zoom=150 ","6541485513")</f>
        <v>6541485513</v>
      </c>
      <c r="AA62" s="13" t="s">
        <v>308</v>
      </c>
      <c r="AB62" s="13">
        <v>2.02</v>
      </c>
      <c r="AC62" s="14" t="s">
        <v>194</v>
      </c>
      <c r="AD62" s="13" t="s">
        <v>78</v>
      </c>
      <c r="AE62" s="13">
        <v>14000</v>
      </c>
      <c r="AF62" s="14">
        <v>28280</v>
      </c>
      <c r="AG62" s="14">
        <v>-62</v>
      </c>
      <c r="AH62" s="14">
        <v>5320</v>
      </c>
      <c r="AI62" s="14">
        <v>10746.4</v>
      </c>
      <c r="AJ62" s="14" t="s">
        <v>50</v>
      </c>
      <c r="AK62" s="13" t="s">
        <v>46</v>
      </c>
      <c r="AL62" s="13" t="s">
        <v>46</v>
      </c>
      <c r="AM62" s="13" t="s">
        <v>49</v>
      </c>
      <c r="AN62" s="13" t="s">
        <v>342</v>
      </c>
      <c r="AO62" s="13">
        <v>64</v>
      </c>
      <c r="AP62" s="14">
        <v>66</v>
      </c>
      <c r="AQ62" s="14" t="s">
        <v>49</v>
      </c>
      <c r="AR62" s="13">
        <v>0</v>
      </c>
      <c r="AS62" s="14">
        <v>0</v>
      </c>
      <c r="AT62" s="14">
        <v>0</v>
      </c>
      <c r="AU62" s="13" t="s">
        <v>341</v>
      </c>
      <c r="AV62" s="13" t="str">
        <f>HYPERLINK("https://diamdna.azureedge.net/imaged/lr25-38/still.jpg ","Image")</f>
        <v>Image</v>
      </c>
      <c r="AW62" s="13" t="str">
        <f>HYPERLINK("https://diamdna.azureedge.net/Vision360.html?d=lr25-38&amp;sr=-30&amp;s=30 ","Video")</f>
        <v>Video</v>
      </c>
      <c r="AX62" s="13" t="str">
        <f>HYPERLINK("https://diamdna.azureedge.net/imaged/lr25-38/video.mp4 ","Download")</f>
        <v>Download</v>
      </c>
      <c r="AY62" s="13" t="s">
        <v>42</v>
      </c>
      <c r="AZ62" s="13" t="str">
        <f>HYPERLINK("https://diamdna.azureedge.net/reports/6541485513.pdf#zoom=150 ","6541485513")</f>
        <v>6541485513</v>
      </c>
      <c r="BA62" s="13" t="s">
        <v>308</v>
      </c>
      <c r="BB62" s="13">
        <v>2.02</v>
      </c>
      <c r="BC62" s="14" t="s">
        <v>194</v>
      </c>
      <c r="BD62" s="13" t="s">
        <v>78</v>
      </c>
      <c r="BE62" s="13">
        <v>14000</v>
      </c>
      <c r="BF62" s="14">
        <v>28280</v>
      </c>
      <c r="BG62" s="14">
        <v>-62</v>
      </c>
      <c r="BH62" s="14">
        <v>5320</v>
      </c>
      <c r="BI62" s="14">
        <v>10746.4</v>
      </c>
      <c r="BJ62" s="14" t="s">
        <v>50</v>
      </c>
      <c r="BK62" s="13" t="s">
        <v>46</v>
      </c>
      <c r="BL62" s="13" t="s">
        <v>46</v>
      </c>
      <c r="BM62" s="13" t="s">
        <v>49</v>
      </c>
      <c r="BN62" s="13" t="s">
        <v>342</v>
      </c>
      <c r="BO62" s="13">
        <v>64</v>
      </c>
      <c r="BP62" s="14">
        <v>66</v>
      </c>
      <c r="BQ62" s="14" t="s">
        <v>49</v>
      </c>
      <c r="BR62" s="13">
        <v>0</v>
      </c>
      <c r="BS62" s="14">
        <v>0</v>
      </c>
      <c r="BT62" s="14">
        <v>0</v>
      </c>
      <c r="BU62" s="14">
        <v>0</v>
      </c>
      <c r="BV62" s="14" t="s">
        <v>136</v>
      </c>
      <c r="BW62" s="13" t="s">
        <v>50</v>
      </c>
      <c r="BX62" s="13" t="s">
        <v>51</v>
      </c>
      <c r="BY62" s="13">
        <v>3.35</v>
      </c>
      <c r="BZ62" s="14">
        <v>1.01</v>
      </c>
      <c r="CA62" s="14" t="s">
        <v>99</v>
      </c>
      <c r="CB62" s="13" t="s">
        <v>54</v>
      </c>
      <c r="CC62" s="13" t="s">
        <v>237</v>
      </c>
      <c r="CD62" s="13" t="s">
        <v>54</v>
      </c>
      <c r="CE62" s="13" t="s">
        <v>100</v>
      </c>
      <c r="CF62" s="13" t="s">
        <v>56</v>
      </c>
      <c r="CG62" s="13" t="s">
        <v>57</v>
      </c>
      <c r="CH62" s="13" t="s">
        <v>144</v>
      </c>
    </row>
    <row r="63" spans="21:86" x14ac:dyDescent="0.3">
      <c r="U63" s="13" t="s">
        <v>343</v>
      </c>
      <c r="V63" s="13" t="str">
        <f>HYPERLINK("https://diamdna.azureedge.net/imaged/zi-1282/still.jpg ","Image")</f>
        <v>Image</v>
      </c>
      <c r="W63" s="13" t="str">
        <f>HYPERLINK("https://diamdna.azureedge.net/Vision360.html?d=zi-1282&amp;sr=-30&amp;s=30 ","Video")</f>
        <v>Video</v>
      </c>
      <c r="X63" s="13" t="str">
        <f>HYPERLINK("https://diamdna.azureedge.net/imaged/zi-1282/video.mp4 ","Download")</f>
        <v>Download</v>
      </c>
      <c r="Y63" s="13" t="s">
        <v>42</v>
      </c>
      <c r="Z63" s="13" t="str">
        <f>HYPERLINK("https://diamdna.azureedge.net/reports/6541425097.pdf#zoom=150 ","6541425097")</f>
        <v>6541425097</v>
      </c>
      <c r="AA63" s="13" t="s">
        <v>146</v>
      </c>
      <c r="AB63" s="13">
        <v>2.02</v>
      </c>
      <c r="AC63" s="14" t="s">
        <v>69</v>
      </c>
      <c r="AD63" s="13" t="s">
        <v>133</v>
      </c>
      <c r="AE63" s="13">
        <v>8500</v>
      </c>
      <c r="AF63" s="14">
        <v>17170</v>
      </c>
      <c r="AG63" s="14">
        <v>-34</v>
      </c>
      <c r="AH63" s="14">
        <v>5610</v>
      </c>
      <c r="AI63" s="14">
        <v>11332.2</v>
      </c>
      <c r="AJ63" s="14" t="s">
        <v>50</v>
      </c>
      <c r="AK63" s="13" t="s">
        <v>46</v>
      </c>
      <c r="AL63" s="13" t="s">
        <v>46</v>
      </c>
      <c r="AM63" s="13" t="s">
        <v>49</v>
      </c>
      <c r="AN63" s="13" t="s">
        <v>344</v>
      </c>
      <c r="AO63" s="13">
        <v>58</v>
      </c>
      <c r="AP63" s="14">
        <v>61.6</v>
      </c>
      <c r="AQ63" s="14" t="s">
        <v>49</v>
      </c>
      <c r="AR63" s="13">
        <v>0</v>
      </c>
      <c r="AS63" s="14">
        <v>0</v>
      </c>
      <c r="AT63" s="14">
        <v>0</v>
      </c>
      <c r="AU63" s="13" t="s">
        <v>343</v>
      </c>
      <c r="AV63" s="13" t="str">
        <f>HYPERLINK("https://diamdna.azureedge.net/imaged/zi-1282/still.jpg ","Image")</f>
        <v>Image</v>
      </c>
      <c r="AW63" s="13" t="str">
        <f>HYPERLINK("https://diamdna.azureedge.net/Vision360.html?d=zi-1282&amp;sr=-30&amp;s=30 ","Video")</f>
        <v>Video</v>
      </c>
      <c r="AX63" s="13" t="str">
        <f>HYPERLINK("https://diamdna.azureedge.net/imaged/zi-1282/video.mp4 ","Download")</f>
        <v>Download</v>
      </c>
      <c r="AY63" s="13" t="s">
        <v>42</v>
      </c>
      <c r="AZ63" s="13" t="str">
        <f>HYPERLINK("https://diamdna.azureedge.net/reports/6541425097.pdf#zoom=150 ","6541425097")</f>
        <v>6541425097</v>
      </c>
      <c r="BA63" s="13" t="s">
        <v>146</v>
      </c>
      <c r="BB63" s="13">
        <v>2.02</v>
      </c>
      <c r="BC63" s="14" t="s">
        <v>69</v>
      </c>
      <c r="BD63" s="13" t="s">
        <v>133</v>
      </c>
      <c r="BE63" s="13">
        <v>8500</v>
      </c>
      <c r="BF63" s="14">
        <v>17170</v>
      </c>
      <c r="BG63" s="14">
        <v>-34</v>
      </c>
      <c r="BH63" s="14">
        <v>5610</v>
      </c>
      <c r="BI63" s="14">
        <v>11332.2</v>
      </c>
      <c r="BJ63" s="14" t="s">
        <v>50</v>
      </c>
      <c r="BK63" s="13" t="s">
        <v>46</v>
      </c>
      <c r="BL63" s="13" t="s">
        <v>46</v>
      </c>
      <c r="BM63" s="13" t="s">
        <v>49</v>
      </c>
      <c r="BN63" s="13" t="s">
        <v>344</v>
      </c>
      <c r="BO63" s="13">
        <v>58</v>
      </c>
      <c r="BP63" s="14">
        <v>61.6</v>
      </c>
      <c r="BQ63" s="14" t="s">
        <v>49</v>
      </c>
      <c r="BR63" s="13">
        <v>0</v>
      </c>
      <c r="BS63" s="14">
        <v>0</v>
      </c>
      <c r="BT63" s="14">
        <v>0</v>
      </c>
      <c r="BU63" s="14">
        <v>0</v>
      </c>
      <c r="BV63" s="14" t="s">
        <v>345</v>
      </c>
      <c r="BW63" s="13" t="s">
        <v>50</v>
      </c>
      <c r="BX63" s="13" t="s">
        <v>346</v>
      </c>
      <c r="BY63" s="13">
        <v>0</v>
      </c>
      <c r="BZ63" s="14">
        <v>1.57</v>
      </c>
      <c r="CA63" s="14" t="s">
        <v>52</v>
      </c>
      <c r="CB63" s="13" t="s">
        <v>54</v>
      </c>
      <c r="CC63" s="13"/>
      <c r="CD63" s="13" t="s">
        <v>54</v>
      </c>
      <c r="CE63" s="13"/>
      <c r="CF63" s="13" t="s">
        <v>56</v>
      </c>
      <c r="CG63" s="13" t="s">
        <v>65</v>
      </c>
      <c r="CH63" s="13" t="s">
        <v>347</v>
      </c>
    </row>
    <row r="64" spans="21:86" x14ac:dyDescent="0.3">
      <c r="U64" s="13" t="s">
        <v>348</v>
      </c>
      <c r="V64" s="13" t="str">
        <f>HYPERLINK("https://diamdna.azureedge.net/imaged/lv25-100/still.jpg ","Image")</f>
        <v>Image</v>
      </c>
      <c r="W64" s="13" t="str">
        <f>HYPERLINK("https://diamdna.azureedge.net/Vision360.html?d=lv25-100&amp;sr=-30&amp;s=30 ","Video")</f>
        <v>Video</v>
      </c>
      <c r="X64" s="13" t="str">
        <f>HYPERLINK("https://diamdna.azureedge.net/imaged/lv25-100/video.mp4 ","Download")</f>
        <v>Download</v>
      </c>
      <c r="Y64" s="13" t="s">
        <v>163</v>
      </c>
      <c r="Z64" s="13" t="str">
        <f>HYPERLINK("https://diamdna.azureedge.net/reports/260000038315.pdf#zoom=150 ","260000038315")</f>
        <v>260000038315</v>
      </c>
      <c r="AA64" s="13" t="s">
        <v>146</v>
      </c>
      <c r="AB64" s="13">
        <v>2.02</v>
      </c>
      <c r="AC64" s="14" t="s">
        <v>69</v>
      </c>
      <c r="AD64" s="13" t="s">
        <v>60</v>
      </c>
      <c r="AE64" s="13">
        <v>7500</v>
      </c>
      <c r="AF64" s="14">
        <v>15150</v>
      </c>
      <c r="AG64" s="14">
        <v>-65.5</v>
      </c>
      <c r="AH64" s="14">
        <v>2587.5</v>
      </c>
      <c r="AI64" s="14">
        <v>5226.75</v>
      </c>
      <c r="AJ64" s="14" t="s">
        <v>50</v>
      </c>
      <c r="AK64" s="13" t="s">
        <v>46</v>
      </c>
      <c r="AL64" s="13" t="s">
        <v>46</v>
      </c>
      <c r="AM64" s="13" t="s">
        <v>49</v>
      </c>
      <c r="AN64" s="13" t="s">
        <v>349</v>
      </c>
      <c r="AO64" s="13">
        <v>60</v>
      </c>
      <c r="AP64" s="14">
        <v>61.7</v>
      </c>
      <c r="AQ64" s="14" t="s">
        <v>165</v>
      </c>
      <c r="AR64" s="13">
        <v>0</v>
      </c>
      <c r="AS64" s="14">
        <v>16</v>
      </c>
      <c r="AT64" s="14">
        <v>0</v>
      </c>
      <c r="AU64" s="13" t="s">
        <v>348</v>
      </c>
      <c r="AV64" s="13" t="str">
        <f>HYPERLINK("https://diamdna.azureedge.net/imaged/lv25-100/still.jpg ","Image")</f>
        <v>Image</v>
      </c>
      <c r="AW64" s="13" t="str">
        <f>HYPERLINK("https://diamdna.azureedge.net/Vision360.html?d=lv25-100&amp;sr=-30&amp;s=30 ","Video")</f>
        <v>Video</v>
      </c>
      <c r="AX64" s="13" t="str">
        <f>HYPERLINK("https://diamdna.azureedge.net/imaged/lv25-100/video.mp4 ","Download")</f>
        <v>Download</v>
      </c>
      <c r="AY64" s="13" t="s">
        <v>163</v>
      </c>
      <c r="AZ64" s="13" t="str">
        <f>HYPERLINK("https://diamdna.azureedge.net/reports/260000038315.pdf#zoom=150 ","260000038315")</f>
        <v>260000038315</v>
      </c>
      <c r="BA64" s="13" t="s">
        <v>146</v>
      </c>
      <c r="BB64" s="13">
        <v>2.02</v>
      </c>
      <c r="BC64" s="14" t="s">
        <v>69</v>
      </c>
      <c r="BD64" s="13" t="s">
        <v>60</v>
      </c>
      <c r="BE64" s="13">
        <v>7500</v>
      </c>
      <c r="BF64" s="14">
        <v>15150</v>
      </c>
      <c r="BG64" s="14">
        <v>-65.5</v>
      </c>
      <c r="BH64" s="14">
        <v>2587.5</v>
      </c>
      <c r="BI64" s="14">
        <v>5226.75</v>
      </c>
      <c r="BJ64" s="14" t="s">
        <v>50</v>
      </c>
      <c r="BK64" s="13" t="s">
        <v>46</v>
      </c>
      <c r="BL64" s="13" t="s">
        <v>46</v>
      </c>
      <c r="BM64" s="13" t="s">
        <v>49</v>
      </c>
      <c r="BN64" s="13" t="s">
        <v>349</v>
      </c>
      <c r="BO64" s="13">
        <v>60</v>
      </c>
      <c r="BP64" s="14">
        <v>61.7</v>
      </c>
      <c r="BQ64" s="14" t="s">
        <v>165</v>
      </c>
      <c r="BR64" s="13">
        <v>0</v>
      </c>
      <c r="BS64" s="14">
        <v>16</v>
      </c>
      <c r="BT64" s="14">
        <v>0</v>
      </c>
      <c r="BU64" s="14">
        <v>42.5</v>
      </c>
      <c r="BV64" s="14"/>
      <c r="BW64" s="13" t="s">
        <v>50</v>
      </c>
      <c r="BX64" s="13" t="s">
        <v>142</v>
      </c>
      <c r="BY64" s="13">
        <v>3.5</v>
      </c>
      <c r="BZ64" s="14">
        <v>1.63</v>
      </c>
      <c r="CA64" s="14" t="s">
        <v>108</v>
      </c>
      <c r="CB64" s="13" t="s">
        <v>54</v>
      </c>
      <c r="CC64" s="13"/>
      <c r="CD64" s="13" t="s">
        <v>54</v>
      </c>
      <c r="CE64" s="13" t="s">
        <v>93</v>
      </c>
      <c r="CF64" s="13" t="s">
        <v>56</v>
      </c>
      <c r="CG64" s="13" t="s">
        <v>130</v>
      </c>
      <c r="CH64" s="13" t="s">
        <v>111</v>
      </c>
    </row>
    <row r="65" spans="21:86" x14ac:dyDescent="0.3">
      <c r="U65" s="13" t="s">
        <v>350</v>
      </c>
      <c r="V65" s="13" t="str">
        <f>HYPERLINK("https://diamdna.azureedge.net/imaged/kl25-30/still.jpg ","Image")</f>
        <v>Image</v>
      </c>
      <c r="W65" s="13" t="str">
        <f>HYPERLINK("https://diamdna.azureedge.net/Vision360.html?d=kl25-30&amp;sr=-30&amp;s=30 ","Video")</f>
        <v>Video</v>
      </c>
      <c r="X65" s="13" t="str">
        <f>HYPERLINK("https://diamdna.azureedge.net/imaged/kl25-30/video.mp4 ","Download")</f>
        <v>Download</v>
      </c>
      <c r="Y65" s="13" t="s">
        <v>42</v>
      </c>
      <c r="Z65" s="13" t="str">
        <f>HYPERLINK("https://diamdna.azureedge.net/reports/7546439279.pdf#zoom=150 ","7546439279")</f>
        <v>7546439279</v>
      </c>
      <c r="AA65" s="13" t="s">
        <v>118</v>
      </c>
      <c r="AB65" s="13">
        <v>2.02</v>
      </c>
      <c r="AC65" s="14" t="s">
        <v>91</v>
      </c>
      <c r="AD65" s="13" t="s">
        <v>60</v>
      </c>
      <c r="AE65" s="13">
        <v>10300</v>
      </c>
      <c r="AF65" s="14">
        <v>20806</v>
      </c>
      <c r="AG65" s="14">
        <v>-60</v>
      </c>
      <c r="AH65" s="14">
        <v>4120</v>
      </c>
      <c r="AI65" s="14">
        <v>8322.4</v>
      </c>
      <c r="AJ65" s="14" t="s">
        <v>50</v>
      </c>
      <c r="AK65" s="13" t="s">
        <v>46</v>
      </c>
      <c r="AL65" s="13" t="s">
        <v>46</v>
      </c>
      <c r="AM65" s="13" t="s">
        <v>134</v>
      </c>
      <c r="AN65" s="13" t="s">
        <v>351</v>
      </c>
      <c r="AO65" s="13">
        <v>57</v>
      </c>
      <c r="AP65" s="14">
        <v>62.4</v>
      </c>
      <c r="AQ65" s="14" t="s">
        <v>49</v>
      </c>
      <c r="AR65" s="13">
        <v>0</v>
      </c>
      <c r="AS65" s="14">
        <v>0</v>
      </c>
      <c r="AT65" s="14">
        <v>0</v>
      </c>
      <c r="AU65" s="13" t="s">
        <v>350</v>
      </c>
      <c r="AV65" s="13" t="str">
        <f>HYPERLINK("https://diamdna.azureedge.net/imaged/kl25-30/still.jpg ","Image")</f>
        <v>Image</v>
      </c>
      <c r="AW65" s="13" t="str">
        <f>HYPERLINK("https://diamdna.azureedge.net/Vision360.html?d=kl25-30&amp;sr=-30&amp;s=30 ","Video")</f>
        <v>Video</v>
      </c>
      <c r="AX65" s="13" t="str">
        <f>HYPERLINK("https://diamdna.azureedge.net/imaged/kl25-30/video.mp4 ","Download")</f>
        <v>Download</v>
      </c>
      <c r="AY65" s="13" t="s">
        <v>42</v>
      </c>
      <c r="AZ65" s="13" t="str">
        <f>HYPERLINK("https://diamdna.azureedge.net/reports/7546439279.pdf#zoom=150 ","7546439279")</f>
        <v>7546439279</v>
      </c>
      <c r="BA65" s="13" t="s">
        <v>118</v>
      </c>
      <c r="BB65" s="13">
        <v>2.02</v>
      </c>
      <c r="BC65" s="14" t="s">
        <v>91</v>
      </c>
      <c r="BD65" s="13" t="s">
        <v>60</v>
      </c>
      <c r="BE65" s="13">
        <v>10300</v>
      </c>
      <c r="BF65" s="14">
        <v>20806</v>
      </c>
      <c r="BG65" s="14">
        <v>-60</v>
      </c>
      <c r="BH65" s="14">
        <v>4120</v>
      </c>
      <c r="BI65" s="14">
        <v>8322.4</v>
      </c>
      <c r="BJ65" s="14" t="s">
        <v>50</v>
      </c>
      <c r="BK65" s="13" t="s">
        <v>46</v>
      </c>
      <c r="BL65" s="13" t="s">
        <v>46</v>
      </c>
      <c r="BM65" s="13" t="s">
        <v>134</v>
      </c>
      <c r="BN65" s="13" t="s">
        <v>351</v>
      </c>
      <c r="BO65" s="13">
        <v>57</v>
      </c>
      <c r="BP65" s="14">
        <v>62.4</v>
      </c>
      <c r="BQ65" s="14" t="s">
        <v>49</v>
      </c>
      <c r="BR65" s="13">
        <v>0</v>
      </c>
      <c r="BS65" s="14">
        <v>0</v>
      </c>
      <c r="BT65" s="14">
        <v>0</v>
      </c>
      <c r="BU65" s="14">
        <v>0</v>
      </c>
      <c r="BV65" s="14" t="s">
        <v>352</v>
      </c>
      <c r="BW65" s="13" t="s">
        <v>50</v>
      </c>
      <c r="BX65" s="13" t="s">
        <v>202</v>
      </c>
      <c r="BY65" s="13">
        <v>4.3499999999999996</v>
      </c>
      <c r="BZ65" s="14">
        <v>0.84</v>
      </c>
      <c r="CA65" s="14" t="s">
        <v>197</v>
      </c>
      <c r="CB65" s="13" t="s">
        <v>54</v>
      </c>
      <c r="CC65" s="13" t="s">
        <v>64</v>
      </c>
      <c r="CD65" s="13" t="s">
        <v>54</v>
      </c>
      <c r="CE65" s="13" t="s">
        <v>110</v>
      </c>
      <c r="CF65" s="13" t="s">
        <v>56</v>
      </c>
      <c r="CG65" s="13" t="s">
        <v>65</v>
      </c>
      <c r="CH65" s="13" t="s">
        <v>353</v>
      </c>
    </row>
    <row r="66" spans="21:86" x14ac:dyDescent="0.3">
      <c r="U66" s="13" t="s">
        <v>354</v>
      </c>
      <c r="V66" s="13" t="str">
        <f>HYPERLINK("https://diamdna.azureedge.net/imaged/bdt-12/still.jpg ","Image")</f>
        <v>Image</v>
      </c>
      <c r="W66" s="13" t="str">
        <f>HYPERLINK("https://diamdna.azureedge.net/Vision360.html?d=bdt-12&amp;sr=-30&amp;s=30 ","Video")</f>
        <v>Video</v>
      </c>
      <c r="X66" s="13" t="str">
        <f>HYPERLINK("https://diamdna.azureedge.net/imaged/bdt-12/video.mp4 ","Download")</f>
        <v>Download</v>
      </c>
      <c r="Y66" s="13" t="s">
        <v>42</v>
      </c>
      <c r="Z66" s="13" t="str">
        <f>HYPERLINK("https://diamdna.azureedge.net/reports/5546748300.pdf#zoom=150 ","5546748300")</f>
        <v>5546748300</v>
      </c>
      <c r="AA66" s="13" t="s">
        <v>118</v>
      </c>
      <c r="AB66" s="13">
        <v>2.02</v>
      </c>
      <c r="AC66" s="14" t="s">
        <v>96</v>
      </c>
      <c r="AD66" s="13" t="s">
        <v>60</v>
      </c>
      <c r="AE66" s="13">
        <v>9600</v>
      </c>
      <c r="AF66" s="14">
        <v>19392</v>
      </c>
      <c r="AG66" s="14">
        <v>-58</v>
      </c>
      <c r="AH66" s="14">
        <v>4032</v>
      </c>
      <c r="AI66" s="14">
        <v>8144.64</v>
      </c>
      <c r="AJ66" s="14" t="s">
        <v>50</v>
      </c>
      <c r="AK66" s="13" t="s">
        <v>46</v>
      </c>
      <c r="AL66" s="13" t="s">
        <v>46</v>
      </c>
      <c r="AM66" s="13" t="s">
        <v>134</v>
      </c>
      <c r="AN66" s="13" t="s">
        <v>355</v>
      </c>
      <c r="AO66" s="13">
        <v>59</v>
      </c>
      <c r="AP66" s="14">
        <v>59.7</v>
      </c>
      <c r="AQ66" s="14" t="s">
        <v>49</v>
      </c>
      <c r="AR66" s="13">
        <v>40.6</v>
      </c>
      <c r="AS66" s="14">
        <v>0</v>
      </c>
      <c r="AT66" s="14">
        <v>0</v>
      </c>
      <c r="AU66" s="13" t="s">
        <v>354</v>
      </c>
      <c r="AV66" s="13" t="str">
        <f>HYPERLINK("https://diamdna.azureedge.net/imaged/bdt-12/still.jpg ","Image")</f>
        <v>Image</v>
      </c>
      <c r="AW66" s="13" t="str">
        <f>HYPERLINK("https://diamdna.azureedge.net/Vision360.html?d=bdt-12&amp;sr=-30&amp;s=30 ","Video")</f>
        <v>Video</v>
      </c>
      <c r="AX66" s="13" t="str">
        <f>HYPERLINK("https://diamdna.azureedge.net/imaged/bdt-12/video.mp4 ","Download")</f>
        <v>Download</v>
      </c>
      <c r="AY66" s="13" t="s">
        <v>42</v>
      </c>
      <c r="AZ66" s="13" t="str">
        <f>HYPERLINK("https://diamdna.azureedge.net/reports/5546748300.pdf#zoom=150 ","5546748300")</f>
        <v>5546748300</v>
      </c>
      <c r="BA66" s="13" t="s">
        <v>118</v>
      </c>
      <c r="BB66" s="13">
        <v>2.02</v>
      </c>
      <c r="BC66" s="14" t="s">
        <v>96</v>
      </c>
      <c r="BD66" s="13" t="s">
        <v>60</v>
      </c>
      <c r="BE66" s="13">
        <v>9600</v>
      </c>
      <c r="BF66" s="14">
        <v>19392</v>
      </c>
      <c r="BG66" s="14">
        <v>-58</v>
      </c>
      <c r="BH66" s="14">
        <v>4032</v>
      </c>
      <c r="BI66" s="14">
        <v>8144.64</v>
      </c>
      <c r="BJ66" s="14" t="s">
        <v>50</v>
      </c>
      <c r="BK66" s="13" t="s">
        <v>46</v>
      </c>
      <c r="BL66" s="13" t="s">
        <v>46</v>
      </c>
      <c r="BM66" s="13" t="s">
        <v>134</v>
      </c>
      <c r="BN66" s="13" t="s">
        <v>355</v>
      </c>
      <c r="BO66" s="13">
        <v>59</v>
      </c>
      <c r="BP66" s="14">
        <v>59.7</v>
      </c>
      <c r="BQ66" s="14" t="s">
        <v>49</v>
      </c>
      <c r="BR66" s="13">
        <v>40.6</v>
      </c>
      <c r="BS66" s="14">
        <v>0</v>
      </c>
      <c r="BT66" s="14">
        <v>0</v>
      </c>
      <c r="BU66" s="14">
        <v>0</v>
      </c>
      <c r="BV66" s="14" t="s">
        <v>356</v>
      </c>
      <c r="BW66" s="13" t="s">
        <v>50</v>
      </c>
      <c r="BX66" s="13" t="s">
        <v>357</v>
      </c>
      <c r="BY66" s="13">
        <v>4.3499999999999996</v>
      </c>
      <c r="BZ66" s="14">
        <v>0.94</v>
      </c>
      <c r="CA66" s="14" t="s">
        <v>108</v>
      </c>
      <c r="CB66" s="13" t="s">
        <v>54</v>
      </c>
      <c r="CC66" s="13" t="s">
        <v>254</v>
      </c>
      <c r="CD66" s="13" t="s">
        <v>54</v>
      </c>
      <c r="CE66" s="13" t="s">
        <v>110</v>
      </c>
      <c r="CF66" s="13" t="s">
        <v>339</v>
      </c>
      <c r="CG66" s="13" t="s">
        <v>57</v>
      </c>
      <c r="CH66" s="13" t="s">
        <v>295</v>
      </c>
    </row>
    <row r="67" spans="21:86" x14ac:dyDescent="0.3">
      <c r="U67" s="13" t="s">
        <v>358</v>
      </c>
      <c r="V67" s="13" t="str">
        <f>HYPERLINK("https://diamdna.azureedge.net/imaged/nb26-20/still.jpg ","Image")</f>
        <v>Image</v>
      </c>
      <c r="W67" s="13" t="str">
        <f>HYPERLINK("https://diamdna.azureedge.net/Vision360.html?d=nb26-20&amp;sr=-30&amp;s=30 ","Video")</f>
        <v>Video</v>
      </c>
      <c r="X67" s="13" t="str">
        <f>HYPERLINK("https://diamdna.azureedge.net/imaged/nb26-20/video.mp4 ","Download")</f>
        <v>Download</v>
      </c>
      <c r="Y67" s="13" t="s">
        <v>42</v>
      </c>
      <c r="Z67" s="13" t="str">
        <f>HYPERLINK("https://diamdna.azureedge.net/reports/2547929205.pdf#zoom=150 ","2547929205")</f>
        <v>2547929205</v>
      </c>
      <c r="AA67" s="13" t="s">
        <v>43</v>
      </c>
      <c r="AB67" s="13">
        <v>2.0099999999999998</v>
      </c>
      <c r="AC67" s="14" t="s">
        <v>194</v>
      </c>
      <c r="AD67" s="13" t="s">
        <v>133</v>
      </c>
      <c r="AE67" s="13">
        <v>12300</v>
      </c>
      <c r="AF67" s="14">
        <v>24722.999999999996</v>
      </c>
      <c r="AG67" s="14">
        <v>-48</v>
      </c>
      <c r="AH67" s="14">
        <v>6396</v>
      </c>
      <c r="AI67" s="14">
        <v>12855.96</v>
      </c>
      <c r="AJ67" s="14" t="s">
        <v>120</v>
      </c>
      <c r="AK67" s="13" t="s">
        <v>46</v>
      </c>
      <c r="AL67" s="13" t="s">
        <v>120</v>
      </c>
      <c r="AM67" s="13" t="s">
        <v>49</v>
      </c>
      <c r="AN67" s="13" t="s">
        <v>359</v>
      </c>
      <c r="AO67" s="13">
        <v>56</v>
      </c>
      <c r="AP67" s="14">
        <v>64.400000000000006</v>
      </c>
      <c r="AQ67" s="14" t="s">
        <v>49</v>
      </c>
      <c r="AR67" s="13">
        <v>37.5</v>
      </c>
      <c r="AS67" s="14">
        <v>17</v>
      </c>
      <c r="AT67" s="14">
        <v>40.200000000000003</v>
      </c>
      <c r="AU67" s="13" t="s">
        <v>358</v>
      </c>
      <c r="AV67" s="13" t="str">
        <f>HYPERLINK("https://diamdna.azureedge.net/imaged/nb26-20/still.jpg ","Image")</f>
        <v>Image</v>
      </c>
      <c r="AW67" s="13" t="str">
        <f>HYPERLINK("https://diamdna.azureedge.net/Vision360.html?d=nb26-20&amp;sr=-30&amp;s=30 ","Video")</f>
        <v>Video</v>
      </c>
      <c r="AX67" s="13" t="str">
        <f>HYPERLINK("https://diamdna.azureedge.net/imaged/nb26-20/video.mp4 ","Download")</f>
        <v>Download</v>
      </c>
      <c r="AY67" s="13" t="s">
        <v>42</v>
      </c>
      <c r="AZ67" s="13" t="str">
        <f>HYPERLINK("https://diamdna.azureedge.net/reports/2547929205.pdf#zoom=150 ","2547929205")</f>
        <v>2547929205</v>
      </c>
      <c r="BA67" s="13" t="s">
        <v>43</v>
      </c>
      <c r="BB67" s="13">
        <v>2.0099999999999998</v>
      </c>
      <c r="BC67" s="14" t="s">
        <v>194</v>
      </c>
      <c r="BD67" s="13" t="s">
        <v>133</v>
      </c>
      <c r="BE67" s="13">
        <v>12300</v>
      </c>
      <c r="BF67" s="14">
        <v>24722.999999999996</v>
      </c>
      <c r="BG67" s="14">
        <v>-48</v>
      </c>
      <c r="BH67" s="14">
        <v>6396</v>
      </c>
      <c r="BI67" s="14">
        <v>12855.96</v>
      </c>
      <c r="BJ67" s="14" t="s">
        <v>120</v>
      </c>
      <c r="BK67" s="13" t="s">
        <v>46</v>
      </c>
      <c r="BL67" s="13" t="s">
        <v>120</v>
      </c>
      <c r="BM67" s="13" t="s">
        <v>49</v>
      </c>
      <c r="BN67" s="13" t="s">
        <v>359</v>
      </c>
      <c r="BO67" s="13">
        <v>56</v>
      </c>
      <c r="BP67" s="14">
        <v>64.400000000000006</v>
      </c>
      <c r="BQ67" s="14" t="s">
        <v>49</v>
      </c>
      <c r="BR67" s="13">
        <v>37.5</v>
      </c>
      <c r="BS67" s="14">
        <v>17</v>
      </c>
      <c r="BT67" s="14">
        <v>40.200000000000003</v>
      </c>
      <c r="BU67" s="14">
        <v>42</v>
      </c>
      <c r="BV67" s="14" t="s">
        <v>360</v>
      </c>
      <c r="BW67" s="13" t="s">
        <v>50</v>
      </c>
      <c r="BX67" s="13" t="s">
        <v>72</v>
      </c>
      <c r="BY67" s="13">
        <v>5.5</v>
      </c>
      <c r="BZ67" s="14">
        <v>1.02</v>
      </c>
      <c r="CA67" s="14" t="s">
        <v>99</v>
      </c>
      <c r="CB67" s="13" t="s">
        <v>128</v>
      </c>
      <c r="CC67" s="13" t="s">
        <v>203</v>
      </c>
      <c r="CD67" s="13" t="s">
        <v>54</v>
      </c>
      <c r="CE67" s="13" t="s">
        <v>110</v>
      </c>
      <c r="CF67" s="13" t="s">
        <v>56</v>
      </c>
      <c r="CG67" s="13" t="s">
        <v>57</v>
      </c>
      <c r="CH67" s="13" t="s">
        <v>302</v>
      </c>
    </row>
    <row r="68" spans="21:86" x14ac:dyDescent="0.3">
      <c r="U68" s="13" t="s">
        <v>361</v>
      </c>
      <c r="V68" s="13" t="str">
        <f>HYPERLINK("https://diamdna.azureedge.net/imaged/bec-59/still.jpg ","Image")</f>
        <v>Image</v>
      </c>
      <c r="W68" s="13" t="str">
        <f>HYPERLINK("https://diamdna.azureedge.net/Vision360.html?d=bec-59&amp;sr=-30&amp;s=30 ","Video")</f>
        <v>Video</v>
      </c>
      <c r="X68" s="13" t="str">
        <f>HYPERLINK("https://diamdna.azureedge.net/imaged/bec-59/video.mp4 ","Download")</f>
        <v>Download</v>
      </c>
      <c r="Y68" s="13" t="s">
        <v>163</v>
      </c>
      <c r="Z68" s="13" t="str">
        <f>HYPERLINK("https://diamdna.azureedge.net/reports/260000054467.pdf#zoom=150 ","260000054467")</f>
        <v>260000054467</v>
      </c>
      <c r="AA68" s="13" t="s">
        <v>43</v>
      </c>
      <c r="AB68" s="13">
        <v>2.0099999999999998</v>
      </c>
      <c r="AC68" s="14" t="s">
        <v>288</v>
      </c>
      <c r="AD68" s="13" t="s">
        <v>60</v>
      </c>
      <c r="AE68" s="13">
        <v>9200</v>
      </c>
      <c r="AF68" s="14">
        <v>18491.999999999996</v>
      </c>
      <c r="AG68" s="14">
        <v>-72</v>
      </c>
      <c r="AH68" s="14">
        <v>2576</v>
      </c>
      <c r="AI68" s="14">
        <v>5177.76</v>
      </c>
      <c r="AJ68" s="14" t="s">
        <v>362</v>
      </c>
      <c r="AK68" s="13" t="s">
        <v>46</v>
      </c>
      <c r="AL68" s="13" t="s">
        <v>120</v>
      </c>
      <c r="AM68" s="13" t="s">
        <v>49</v>
      </c>
      <c r="AN68" s="13" t="s">
        <v>363</v>
      </c>
      <c r="AO68" s="13">
        <v>54</v>
      </c>
      <c r="AP68" s="14">
        <v>65.599999999999994</v>
      </c>
      <c r="AQ68" s="14" t="s">
        <v>165</v>
      </c>
      <c r="AR68" s="13">
        <v>39.6</v>
      </c>
      <c r="AS68" s="14">
        <v>19</v>
      </c>
      <c r="AT68" s="14">
        <v>38.9</v>
      </c>
      <c r="AU68" s="13" t="s">
        <v>361</v>
      </c>
      <c r="AV68" s="13" t="str">
        <f>HYPERLINK("https://diamdna.azureedge.net/imaged/bec-59/still.jpg ","Image")</f>
        <v>Image</v>
      </c>
      <c r="AW68" s="13" t="str">
        <f>HYPERLINK("https://diamdna.azureedge.net/Vision360.html?d=bec-59&amp;sr=-30&amp;s=30 ","Video")</f>
        <v>Video</v>
      </c>
      <c r="AX68" s="13" t="str">
        <f>HYPERLINK("https://diamdna.azureedge.net/imaged/bec-59/video.mp4 ","Download")</f>
        <v>Download</v>
      </c>
      <c r="AY68" s="13" t="s">
        <v>163</v>
      </c>
      <c r="AZ68" s="13" t="str">
        <f>HYPERLINK("https://diamdna.azureedge.net/reports/260000054467.pdf#zoom=150 ","260000054467")</f>
        <v>260000054467</v>
      </c>
      <c r="BA68" s="13" t="s">
        <v>43</v>
      </c>
      <c r="BB68" s="13">
        <v>2.0099999999999998</v>
      </c>
      <c r="BC68" s="14" t="s">
        <v>288</v>
      </c>
      <c r="BD68" s="13" t="s">
        <v>60</v>
      </c>
      <c r="BE68" s="13">
        <v>9200</v>
      </c>
      <c r="BF68" s="14">
        <v>18491.999999999996</v>
      </c>
      <c r="BG68" s="14">
        <v>-72</v>
      </c>
      <c r="BH68" s="14">
        <v>2576</v>
      </c>
      <c r="BI68" s="14">
        <v>5177.76</v>
      </c>
      <c r="BJ68" s="14" t="s">
        <v>362</v>
      </c>
      <c r="BK68" s="13" t="s">
        <v>46</v>
      </c>
      <c r="BL68" s="13" t="s">
        <v>120</v>
      </c>
      <c r="BM68" s="13" t="s">
        <v>49</v>
      </c>
      <c r="BN68" s="13" t="s">
        <v>363</v>
      </c>
      <c r="BO68" s="13">
        <v>54</v>
      </c>
      <c r="BP68" s="14">
        <v>65.599999999999994</v>
      </c>
      <c r="BQ68" s="14" t="s">
        <v>165</v>
      </c>
      <c r="BR68" s="13">
        <v>39.6</v>
      </c>
      <c r="BS68" s="14">
        <v>19</v>
      </c>
      <c r="BT68" s="14">
        <v>38.9</v>
      </c>
      <c r="BU68" s="14">
        <v>40.5</v>
      </c>
      <c r="BV68" s="14"/>
      <c r="BW68" s="13" t="s">
        <v>50</v>
      </c>
      <c r="BX68" s="13" t="s">
        <v>364</v>
      </c>
      <c r="BY68" s="13">
        <v>6.5</v>
      </c>
      <c r="BZ68" s="14">
        <v>1.01</v>
      </c>
      <c r="CA68" s="14" t="s">
        <v>52</v>
      </c>
      <c r="CB68" s="13" t="s">
        <v>54</v>
      </c>
      <c r="CC68" s="13"/>
      <c r="CD68" s="13" t="s">
        <v>54</v>
      </c>
      <c r="CE68" s="13" t="s">
        <v>93</v>
      </c>
      <c r="CF68" s="13" t="s">
        <v>339</v>
      </c>
      <c r="CG68" s="13" t="s">
        <v>57</v>
      </c>
      <c r="CH68" s="13" t="s">
        <v>365</v>
      </c>
    </row>
    <row r="69" spans="21:86" x14ac:dyDescent="0.3">
      <c r="U69" s="13" t="s">
        <v>366</v>
      </c>
      <c r="V69" s="13" t="str">
        <f>HYPERLINK("https://diamdna.azureedge.net/imaged/bdq-103/still.jpg ","Image")</f>
        <v>Image</v>
      </c>
      <c r="W69" s="13" t="str">
        <f>HYPERLINK("https://diamdna.azureedge.net/Vision360.html?d=bdq-103&amp;sr=-30&amp;s=30 ","Video")</f>
        <v>Video</v>
      </c>
      <c r="X69" s="13" t="str">
        <f>HYPERLINK("https://diamdna.azureedge.net/imaged/bdq-103/video.mp4 ","Download")</f>
        <v>Download</v>
      </c>
      <c r="Y69" s="13" t="s">
        <v>42</v>
      </c>
      <c r="Z69" s="13" t="str">
        <f>HYPERLINK("https://diamdna.azureedge.net/reports/2547635231.pdf#zoom=150 ","2547635231")</f>
        <v>2547635231</v>
      </c>
      <c r="AA69" s="13" t="s">
        <v>43</v>
      </c>
      <c r="AB69" s="13">
        <v>2.0099999999999998</v>
      </c>
      <c r="AC69" s="14" t="s">
        <v>119</v>
      </c>
      <c r="AD69" s="13" t="s">
        <v>133</v>
      </c>
      <c r="AE69" s="13">
        <v>10400</v>
      </c>
      <c r="AF69" s="14">
        <v>20903.999999999996</v>
      </c>
      <c r="AG69" s="14">
        <v>-43.5</v>
      </c>
      <c r="AH69" s="14">
        <v>5876</v>
      </c>
      <c r="AI69" s="14">
        <v>11810.76</v>
      </c>
      <c r="AJ69" s="14" t="s">
        <v>46</v>
      </c>
      <c r="AK69" s="13" t="s">
        <v>46</v>
      </c>
      <c r="AL69" s="13" t="s">
        <v>46</v>
      </c>
      <c r="AM69" s="13" t="s">
        <v>134</v>
      </c>
      <c r="AN69" s="13" t="s">
        <v>367</v>
      </c>
      <c r="AO69" s="13">
        <v>57</v>
      </c>
      <c r="AP69" s="14">
        <v>62.9</v>
      </c>
      <c r="AQ69" s="14" t="s">
        <v>49</v>
      </c>
      <c r="AR69" s="13">
        <v>36.5</v>
      </c>
      <c r="AS69" s="14">
        <v>16</v>
      </c>
      <c r="AT69" s="14">
        <v>41</v>
      </c>
      <c r="AU69" s="13" t="s">
        <v>366</v>
      </c>
      <c r="AV69" s="13" t="str">
        <f>HYPERLINK("https://diamdna.azureedge.net/imaged/bdq-103/still.jpg ","Image")</f>
        <v>Image</v>
      </c>
      <c r="AW69" s="13" t="str">
        <f>HYPERLINK("https://diamdna.azureedge.net/Vision360.html?d=bdq-103&amp;sr=-30&amp;s=30 ","Video")</f>
        <v>Video</v>
      </c>
      <c r="AX69" s="13" t="str">
        <f>HYPERLINK("https://diamdna.azureedge.net/imaged/bdq-103/video.mp4 ","Download")</f>
        <v>Download</v>
      </c>
      <c r="AY69" s="13" t="s">
        <v>42</v>
      </c>
      <c r="AZ69" s="13" t="str">
        <f>HYPERLINK("https://diamdna.azureedge.net/reports/2547635231.pdf#zoom=150 ","2547635231")</f>
        <v>2547635231</v>
      </c>
      <c r="BA69" s="13" t="s">
        <v>43</v>
      </c>
      <c r="BB69" s="13">
        <v>2.0099999999999998</v>
      </c>
      <c r="BC69" s="14" t="s">
        <v>119</v>
      </c>
      <c r="BD69" s="13" t="s">
        <v>133</v>
      </c>
      <c r="BE69" s="13">
        <v>10400</v>
      </c>
      <c r="BF69" s="14">
        <v>20903.999999999996</v>
      </c>
      <c r="BG69" s="14">
        <v>-43.5</v>
      </c>
      <c r="BH69" s="14">
        <v>5876</v>
      </c>
      <c r="BI69" s="14">
        <v>11810.76</v>
      </c>
      <c r="BJ69" s="14" t="s">
        <v>46</v>
      </c>
      <c r="BK69" s="13" t="s">
        <v>46</v>
      </c>
      <c r="BL69" s="13" t="s">
        <v>46</v>
      </c>
      <c r="BM69" s="13" t="s">
        <v>134</v>
      </c>
      <c r="BN69" s="13" t="s">
        <v>367</v>
      </c>
      <c r="BO69" s="13">
        <v>57</v>
      </c>
      <c r="BP69" s="14">
        <v>62.9</v>
      </c>
      <c r="BQ69" s="14" t="s">
        <v>49</v>
      </c>
      <c r="BR69" s="13">
        <v>36.5</v>
      </c>
      <c r="BS69" s="14">
        <v>16</v>
      </c>
      <c r="BT69" s="14">
        <v>41</v>
      </c>
      <c r="BU69" s="14">
        <v>43.5</v>
      </c>
      <c r="BV69" s="14" t="s">
        <v>368</v>
      </c>
      <c r="BW69" s="13" t="s">
        <v>50</v>
      </c>
      <c r="BX69" s="13" t="s">
        <v>51</v>
      </c>
      <c r="BY69" s="13">
        <v>3.5</v>
      </c>
      <c r="BZ69" s="14">
        <v>1.01</v>
      </c>
      <c r="CA69" s="14" t="s">
        <v>99</v>
      </c>
      <c r="CB69" s="13" t="s">
        <v>54</v>
      </c>
      <c r="CC69" s="13" t="s">
        <v>320</v>
      </c>
      <c r="CD69" s="13" t="s">
        <v>54</v>
      </c>
      <c r="CE69" s="13" t="s">
        <v>93</v>
      </c>
      <c r="CF69" s="13" t="s">
        <v>339</v>
      </c>
      <c r="CG69" s="13" t="s">
        <v>65</v>
      </c>
      <c r="CH69" s="13" t="s">
        <v>111</v>
      </c>
    </row>
    <row r="70" spans="21:86" x14ac:dyDescent="0.3">
      <c r="U70" s="13" t="s">
        <v>369</v>
      </c>
      <c r="V70" s="13" t="str">
        <f>HYPERLINK("https://diamdna.azureedge.net/imaged/bec-84/still.jpg ","Image")</f>
        <v>Image</v>
      </c>
      <c r="W70" s="13" t="str">
        <f>HYPERLINK("https://diamdna.azureedge.net/Vision360.html?d=bec-84&amp;sr=-30&amp;s=30 ","Video")</f>
        <v>Video</v>
      </c>
      <c r="X70" s="13" t="str">
        <f>HYPERLINK("https://diamdna.azureedge.net/imaged/bec-84/video.mp4 ","Download")</f>
        <v>Download</v>
      </c>
      <c r="Y70" s="13" t="s">
        <v>42</v>
      </c>
      <c r="Z70" s="13" t="str">
        <f>HYPERLINK("https://diamdna.azureedge.net/reports/2544724071.pdf#zoom=150 ","2544724071")</f>
        <v>2544724071</v>
      </c>
      <c r="AA70" s="13" t="s">
        <v>43</v>
      </c>
      <c r="AB70" s="13">
        <v>2.0099999999999998</v>
      </c>
      <c r="AC70" s="14" t="s">
        <v>119</v>
      </c>
      <c r="AD70" s="13" t="s">
        <v>133</v>
      </c>
      <c r="AE70" s="13">
        <v>10400</v>
      </c>
      <c r="AF70" s="14">
        <v>20903.999999999996</v>
      </c>
      <c r="AG70" s="14">
        <v>-45</v>
      </c>
      <c r="AH70" s="14">
        <v>5720</v>
      </c>
      <c r="AI70" s="14">
        <v>11497.2</v>
      </c>
      <c r="AJ70" s="14" t="s">
        <v>46</v>
      </c>
      <c r="AK70" s="13" t="s">
        <v>46</v>
      </c>
      <c r="AL70" s="13" t="s">
        <v>46</v>
      </c>
      <c r="AM70" s="13" t="s">
        <v>49</v>
      </c>
      <c r="AN70" s="13" t="s">
        <v>370</v>
      </c>
      <c r="AO70" s="13">
        <v>55</v>
      </c>
      <c r="AP70" s="14">
        <v>63.1</v>
      </c>
      <c r="AQ70" s="14" t="s">
        <v>49</v>
      </c>
      <c r="AR70" s="13">
        <v>36.5</v>
      </c>
      <c r="AS70" s="14">
        <v>16.5</v>
      </c>
      <c r="AT70" s="14">
        <v>40.6</v>
      </c>
      <c r="AU70" s="13" t="s">
        <v>369</v>
      </c>
      <c r="AV70" s="13" t="str">
        <f>HYPERLINK("https://diamdna.azureedge.net/imaged/bec-84/still.jpg ","Image")</f>
        <v>Image</v>
      </c>
      <c r="AW70" s="13" t="str">
        <f>HYPERLINK("https://diamdna.azureedge.net/Vision360.html?d=bec-84&amp;sr=-30&amp;s=30 ","Video")</f>
        <v>Video</v>
      </c>
      <c r="AX70" s="13" t="str">
        <f>HYPERLINK("https://diamdna.azureedge.net/imaged/bec-84/video.mp4 ","Download")</f>
        <v>Download</v>
      </c>
      <c r="AY70" s="13" t="s">
        <v>42</v>
      </c>
      <c r="AZ70" s="13" t="str">
        <f>HYPERLINK("https://diamdna.azureedge.net/reports/2544724071.pdf#zoom=150 ","2544724071")</f>
        <v>2544724071</v>
      </c>
      <c r="BA70" s="13" t="s">
        <v>43</v>
      </c>
      <c r="BB70" s="13">
        <v>2.0099999999999998</v>
      </c>
      <c r="BC70" s="14" t="s">
        <v>119</v>
      </c>
      <c r="BD70" s="13" t="s">
        <v>133</v>
      </c>
      <c r="BE70" s="13">
        <v>10400</v>
      </c>
      <c r="BF70" s="14">
        <v>20903.999999999996</v>
      </c>
      <c r="BG70" s="14">
        <v>-45</v>
      </c>
      <c r="BH70" s="14">
        <v>5720</v>
      </c>
      <c r="BI70" s="14">
        <v>11497.2</v>
      </c>
      <c r="BJ70" s="14" t="s">
        <v>46</v>
      </c>
      <c r="BK70" s="13" t="s">
        <v>46</v>
      </c>
      <c r="BL70" s="13" t="s">
        <v>46</v>
      </c>
      <c r="BM70" s="13" t="s">
        <v>49</v>
      </c>
      <c r="BN70" s="13" t="s">
        <v>370</v>
      </c>
      <c r="BO70" s="13">
        <v>55</v>
      </c>
      <c r="BP70" s="14">
        <v>63.1</v>
      </c>
      <c r="BQ70" s="14" t="s">
        <v>49</v>
      </c>
      <c r="BR70" s="13">
        <v>36.5</v>
      </c>
      <c r="BS70" s="14">
        <v>16.5</v>
      </c>
      <c r="BT70" s="14">
        <v>40.6</v>
      </c>
      <c r="BU70" s="14">
        <v>42.5</v>
      </c>
      <c r="BV70" s="14" t="s">
        <v>371</v>
      </c>
      <c r="BW70" s="13" t="s">
        <v>50</v>
      </c>
      <c r="BX70" s="13" t="s">
        <v>142</v>
      </c>
      <c r="BY70" s="13">
        <v>3.5</v>
      </c>
      <c r="BZ70" s="14">
        <v>1</v>
      </c>
      <c r="CA70" s="14" t="s">
        <v>108</v>
      </c>
      <c r="CB70" s="13" t="s">
        <v>53</v>
      </c>
      <c r="CC70" s="13" t="s">
        <v>217</v>
      </c>
      <c r="CD70" s="13" t="s">
        <v>54</v>
      </c>
      <c r="CE70" s="13" t="s">
        <v>93</v>
      </c>
      <c r="CF70" s="13" t="s">
        <v>339</v>
      </c>
      <c r="CG70" s="13" t="s">
        <v>57</v>
      </c>
      <c r="CH70" s="13" t="s">
        <v>372</v>
      </c>
    </row>
    <row r="71" spans="21:86" x14ac:dyDescent="0.3">
      <c r="U71" s="13" t="s">
        <v>373</v>
      </c>
      <c r="V71" s="13" t="str">
        <f>HYPERLINK("https://diamdna.azureedge.net/imaged/bbp-83/still.jpg ","Image")</f>
        <v>Image</v>
      </c>
      <c r="W71" s="13" t="str">
        <f>HYPERLINK("https://diamdna.azureedge.net/Vision360.html?d=bbp-83&amp;sr=-30&amp;s=30 ","Video")</f>
        <v>Video</v>
      </c>
      <c r="X71" s="13" t="str">
        <f>HYPERLINK("https://diamdna.azureedge.net/imaged/bbp-83/video.mp4 ","Download")</f>
        <v>Download</v>
      </c>
      <c r="Y71" s="13" t="s">
        <v>163</v>
      </c>
      <c r="Z71" s="13" t="str">
        <f>HYPERLINK("https://diamdna.azureedge.net/reports/250000184177.pdf#zoom=150 ","250000184177")</f>
        <v>250000184177</v>
      </c>
      <c r="AA71" s="13" t="s">
        <v>43</v>
      </c>
      <c r="AB71" s="13">
        <v>2.0099999999999998</v>
      </c>
      <c r="AC71" s="14" t="s">
        <v>119</v>
      </c>
      <c r="AD71" s="13" t="s">
        <v>133</v>
      </c>
      <c r="AE71" s="13">
        <v>10400</v>
      </c>
      <c r="AF71" s="14">
        <v>20903.999999999996</v>
      </c>
      <c r="AG71" s="14">
        <v>-74</v>
      </c>
      <c r="AH71" s="14">
        <v>2704</v>
      </c>
      <c r="AI71" s="14">
        <v>5435.04</v>
      </c>
      <c r="AJ71" s="14" t="s">
        <v>374</v>
      </c>
      <c r="AK71" s="13" t="s">
        <v>120</v>
      </c>
      <c r="AL71" s="13" t="s">
        <v>120</v>
      </c>
      <c r="AM71" s="13" t="s">
        <v>87</v>
      </c>
      <c r="AN71" s="13" t="s">
        <v>375</v>
      </c>
      <c r="AO71" s="13">
        <v>58</v>
      </c>
      <c r="AP71" s="14">
        <v>66.099999999999994</v>
      </c>
      <c r="AQ71" s="14" t="s">
        <v>165</v>
      </c>
      <c r="AR71" s="13">
        <v>39</v>
      </c>
      <c r="AS71" s="14">
        <v>17</v>
      </c>
      <c r="AT71" s="14">
        <v>40.200000000000003</v>
      </c>
      <c r="AU71" s="13" t="s">
        <v>373</v>
      </c>
      <c r="AV71" s="13" t="str">
        <f>HYPERLINK("https://diamdna.azureedge.net/imaged/bbp-83/still.jpg ","Image")</f>
        <v>Image</v>
      </c>
      <c r="AW71" s="13" t="str">
        <f>HYPERLINK("https://diamdna.azureedge.net/Vision360.html?d=bbp-83&amp;sr=-30&amp;s=30 ","Video")</f>
        <v>Video</v>
      </c>
      <c r="AX71" s="13" t="str">
        <f>HYPERLINK("https://diamdna.azureedge.net/imaged/bbp-83/video.mp4 ","Download")</f>
        <v>Download</v>
      </c>
      <c r="AY71" s="13" t="s">
        <v>163</v>
      </c>
      <c r="AZ71" s="13" t="str">
        <f>HYPERLINK("https://diamdna.azureedge.net/reports/250000184177.pdf#zoom=150 ","250000184177")</f>
        <v>250000184177</v>
      </c>
      <c r="BA71" s="13" t="s">
        <v>43</v>
      </c>
      <c r="BB71" s="13">
        <v>2.0099999999999998</v>
      </c>
      <c r="BC71" s="14" t="s">
        <v>119</v>
      </c>
      <c r="BD71" s="13" t="s">
        <v>133</v>
      </c>
      <c r="BE71" s="13">
        <v>10400</v>
      </c>
      <c r="BF71" s="14">
        <v>20903.999999999996</v>
      </c>
      <c r="BG71" s="14">
        <v>-74</v>
      </c>
      <c r="BH71" s="14">
        <v>2704</v>
      </c>
      <c r="BI71" s="14">
        <v>5435.04</v>
      </c>
      <c r="BJ71" s="14" t="s">
        <v>374</v>
      </c>
      <c r="BK71" s="13" t="s">
        <v>120</v>
      </c>
      <c r="BL71" s="13" t="s">
        <v>120</v>
      </c>
      <c r="BM71" s="13" t="s">
        <v>87</v>
      </c>
      <c r="BN71" s="13" t="s">
        <v>375</v>
      </c>
      <c r="BO71" s="13">
        <v>58</v>
      </c>
      <c r="BP71" s="14">
        <v>66.099999999999994</v>
      </c>
      <c r="BQ71" s="14" t="s">
        <v>165</v>
      </c>
      <c r="BR71" s="13">
        <v>39</v>
      </c>
      <c r="BS71" s="14">
        <v>17</v>
      </c>
      <c r="BT71" s="14">
        <v>40.200000000000003</v>
      </c>
      <c r="BU71" s="14">
        <v>42.5</v>
      </c>
      <c r="BV71" s="14"/>
      <c r="BW71" s="13" t="s">
        <v>50</v>
      </c>
      <c r="BX71" s="13" t="s">
        <v>364</v>
      </c>
      <c r="BY71" s="13">
        <v>7</v>
      </c>
      <c r="BZ71" s="14">
        <v>1.01</v>
      </c>
      <c r="CA71" s="14" t="s">
        <v>376</v>
      </c>
      <c r="CB71" s="13" t="s">
        <v>54</v>
      </c>
      <c r="CC71" s="13"/>
      <c r="CD71" s="13" t="s">
        <v>54</v>
      </c>
      <c r="CE71" s="13" t="s">
        <v>83</v>
      </c>
      <c r="CF71" s="13" t="s">
        <v>56</v>
      </c>
      <c r="CG71" s="13" t="s">
        <v>57</v>
      </c>
      <c r="CH71" s="13" t="s">
        <v>377</v>
      </c>
    </row>
    <row r="72" spans="21:86" x14ac:dyDescent="0.3">
      <c r="U72" s="13" t="s">
        <v>378</v>
      </c>
      <c r="V72" s="13" t="str">
        <f>HYPERLINK("https://diamdna.azureedge.net/imaged/gr-124/still.jpg ","Image")</f>
        <v>Image</v>
      </c>
      <c r="W72" s="13" t="str">
        <f>HYPERLINK("https://diamdna.azureedge.net/Vision360.html?d=gr-124&amp;sr=-30&amp;s=30 ","Video")</f>
        <v>Video</v>
      </c>
      <c r="X72" s="13" t="str">
        <f>HYPERLINK("https://diamdna.azureedge.net/imaged/gr-124/video.mp4 ","Download")</f>
        <v>Download</v>
      </c>
      <c r="Y72" s="13" t="s">
        <v>42</v>
      </c>
      <c r="Z72" s="13" t="str">
        <f>HYPERLINK("https://diamdna.azureedge.net/reports/2528399489.pdf#zoom=150 ","2528399489")</f>
        <v>2528399489</v>
      </c>
      <c r="AA72" s="13" t="s">
        <v>43</v>
      </c>
      <c r="AB72" s="13">
        <v>2.0099999999999998</v>
      </c>
      <c r="AC72" s="14" t="s">
        <v>119</v>
      </c>
      <c r="AD72" s="13" t="s">
        <v>60</v>
      </c>
      <c r="AE72" s="13">
        <v>8600</v>
      </c>
      <c r="AF72" s="14">
        <v>17285.999999999996</v>
      </c>
      <c r="AG72" s="14">
        <v>-64</v>
      </c>
      <c r="AH72" s="14">
        <v>3096</v>
      </c>
      <c r="AI72" s="14">
        <v>6222.96</v>
      </c>
      <c r="AJ72" s="14" t="s">
        <v>374</v>
      </c>
      <c r="AK72" s="13" t="s">
        <v>46</v>
      </c>
      <c r="AL72" s="13" t="s">
        <v>120</v>
      </c>
      <c r="AM72" s="13" t="s">
        <v>49</v>
      </c>
      <c r="AN72" s="13" t="s">
        <v>379</v>
      </c>
      <c r="AO72" s="13">
        <v>59</v>
      </c>
      <c r="AP72" s="14">
        <v>66.400000000000006</v>
      </c>
      <c r="AQ72" s="14" t="s">
        <v>49</v>
      </c>
      <c r="AR72" s="13">
        <v>40</v>
      </c>
      <c r="AS72" s="14">
        <v>17</v>
      </c>
      <c r="AT72" s="14">
        <v>40.4</v>
      </c>
      <c r="AU72" s="13" t="s">
        <v>378</v>
      </c>
      <c r="AV72" s="13" t="str">
        <f>HYPERLINK("https://diamdna.azureedge.net/imaged/gr-124/still.jpg ","Image")</f>
        <v>Image</v>
      </c>
      <c r="AW72" s="13" t="str">
        <f>HYPERLINK("https://diamdna.azureedge.net/Vision360.html?d=gr-124&amp;sr=-30&amp;s=30 ","Video")</f>
        <v>Video</v>
      </c>
      <c r="AX72" s="13" t="str">
        <f>HYPERLINK("https://diamdna.azureedge.net/imaged/gr-124/video.mp4 ","Download")</f>
        <v>Download</v>
      </c>
      <c r="AY72" s="13" t="s">
        <v>42</v>
      </c>
      <c r="AZ72" s="13" t="str">
        <f>HYPERLINK("https://diamdna.azureedge.net/reports/2528399489.pdf#zoom=150 ","2528399489")</f>
        <v>2528399489</v>
      </c>
      <c r="BA72" s="13" t="s">
        <v>43</v>
      </c>
      <c r="BB72" s="13">
        <v>2.0099999999999998</v>
      </c>
      <c r="BC72" s="14" t="s">
        <v>119</v>
      </c>
      <c r="BD72" s="13" t="s">
        <v>60</v>
      </c>
      <c r="BE72" s="13">
        <v>8600</v>
      </c>
      <c r="BF72" s="14">
        <v>17285.999999999996</v>
      </c>
      <c r="BG72" s="14">
        <v>-64</v>
      </c>
      <c r="BH72" s="14">
        <v>3096</v>
      </c>
      <c r="BI72" s="14">
        <v>6222.96</v>
      </c>
      <c r="BJ72" s="14" t="s">
        <v>374</v>
      </c>
      <c r="BK72" s="13" t="s">
        <v>46</v>
      </c>
      <c r="BL72" s="13" t="s">
        <v>120</v>
      </c>
      <c r="BM72" s="13" t="s">
        <v>49</v>
      </c>
      <c r="BN72" s="13" t="s">
        <v>379</v>
      </c>
      <c r="BO72" s="13">
        <v>59</v>
      </c>
      <c r="BP72" s="14">
        <v>66.400000000000006</v>
      </c>
      <c r="BQ72" s="14" t="s">
        <v>49</v>
      </c>
      <c r="BR72" s="13">
        <v>40</v>
      </c>
      <c r="BS72" s="14">
        <v>17</v>
      </c>
      <c r="BT72" s="14">
        <v>40.4</v>
      </c>
      <c r="BU72" s="14">
        <v>42.5</v>
      </c>
      <c r="BV72" s="14" t="s">
        <v>380</v>
      </c>
      <c r="BW72" s="13" t="s">
        <v>50</v>
      </c>
      <c r="BX72" s="13" t="s">
        <v>364</v>
      </c>
      <c r="BY72" s="13">
        <v>7</v>
      </c>
      <c r="BZ72" s="14">
        <v>1.01</v>
      </c>
      <c r="CA72" s="14" t="s">
        <v>376</v>
      </c>
      <c r="CB72" s="13" t="s">
        <v>128</v>
      </c>
      <c r="CC72" s="13" t="s">
        <v>203</v>
      </c>
      <c r="CD72" s="13" t="s">
        <v>54</v>
      </c>
      <c r="CE72" s="13" t="s">
        <v>83</v>
      </c>
      <c r="CF72" s="13" t="s">
        <v>56</v>
      </c>
      <c r="CG72" s="13" t="s">
        <v>57</v>
      </c>
      <c r="CH72" s="13" t="s">
        <v>312</v>
      </c>
    </row>
    <row r="73" spans="21:86" x14ac:dyDescent="0.3">
      <c r="U73" s="13" t="s">
        <v>381</v>
      </c>
      <c r="V73" s="13" t="str">
        <f>HYPERLINK("https://diamdna.azureedge.net/imaged/dz-11/still.jpg ","Image")</f>
        <v>Image</v>
      </c>
      <c r="W73" s="13" t="str">
        <f>HYPERLINK("https://diamdna.azureedge.net/Vision360.html?d=dz-11&amp;sr=-30&amp;s=30 ","Video")</f>
        <v>Video</v>
      </c>
      <c r="X73" s="13" t="str">
        <f>HYPERLINK("https://diamdna.azureedge.net/imaged/dz-11/video.mp4 ","Download")</f>
        <v>Download</v>
      </c>
      <c r="Y73" s="13" t="s">
        <v>76</v>
      </c>
      <c r="Z73" s="13" t="str">
        <f>HYPERLINK("https://diamdna.azureedge.net/reports/687509035.pdf#zoom=150 ","687509035")</f>
        <v>687509035</v>
      </c>
      <c r="AA73" s="13" t="s">
        <v>43</v>
      </c>
      <c r="AB73" s="13">
        <v>2.0099999999999998</v>
      </c>
      <c r="AC73" s="14" t="s">
        <v>119</v>
      </c>
      <c r="AD73" s="13" t="s">
        <v>261</v>
      </c>
      <c r="AE73" s="13">
        <v>6500</v>
      </c>
      <c r="AF73" s="14">
        <v>13064.999999999998</v>
      </c>
      <c r="AG73" s="14">
        <v>-74</v>
      </c>
      <c r="AH73" s="14">
        <v>1690</v>
      </c>
      <c r="AI73" s="14">
        <v>3396.9</v>
      </c>
      <c r="AJ73" s="14" t="s">
        <v>120</v>
      </c>
      <c r="AK73" s="13" t="s">
        <v>46</v>
      </c>
      <c r="AL73" s="13" t="s">
        <v>120</v>
      </c>
      <c r="AM73" s="13" t="s">
        <v>152</v>
      </c>
      <c r="AN73" s="13" t="s">
        <v>382</v>
      </c>
      <c r="AO73" s="13">
        <v>56</v>
      </c>
      <c r="AP73" s="14">
        <v>64.8</v>
      </c>
      <c r="AQ73" s="14" t="s">
        <v>80</v>
      </c>
      <c r="AR73" s="13">
        <v>38.1</v>
      </c>
      <c r="AS73" s="14">
        <v>17.5</v>
      </c>
      <c r="AT73" s="14">
        <v>40</v>
      </c>
      <c r="AU73" s="13" t="s">
        <v>381</v>
      </c>
      <c r="AV73" s="13" t="str">
        <f>HYPERLINK("https://diamdna.azureedge.net/imaged/dz-11/still.jpg ","Image")</f>
        <v>Image</v>
      </c>
      <c r="AW73" s="13" t="str">
        <f>HYPERLINK("https://diamdna.azureedge.net/Vision360.html?d=dz-11&amp;sr=-30&amp;s=30 ","Video")</f>
        <v>Video</v>
      </c>
      <c r="AX73" s="13" t="str">
        <f>HYPERLINK("https://diamdna.azureedge.net/imaged/dz-11/video.mp4 ","Download")</f>
        <v>Download</v>
      </c>
      <c r="AY73" s="13" t="s">
        <v>76</v>
      </c>
      <c r="AZ73" s="13" t="str">
        <f>HYPERLINK("https://diamdna.azureedge.net/reports/687509035.pdf#zoom=150 ","687509035")</f>
        <v>687509035</v>
      </c>
      <c r="BA73" s="13" t="s">
        <v>43</v>
      </c>
      <c r="BB73" s="13">
        <v>2.0099999999999998</v>
      </c>
      <c r="BC73" s="14" t="s">
        <v>119</v>
      </c>
      <c r="BD73" s="13" t="s">
        <v>261</v>
      </c>
      <c r="BE73" s="13">
        <v>6500</v>
      </c>
      <c r="BF73" s="14">
        <v>13064.999999999998</v>
      </c>
      <c r="BG73" s="14">
        <v>-74</v>
      </c>
      <c r="BH73" s="14">
        <v>1690</v>
      </c>
      <c r="BI73" s="14">
        <v>3396.9</v>
      </c>
      <c r="BJ73" s="14" t="s">
        <v>120</v>
      </c>
      <c r="BK73" s="13" t="s">
        <v>46</v>
      </c>
      <c r="BL73" s="13" t="s">
        <v>120</v>
      </c>
      <c r="BM73" s="13" t="s">
        <v>152</v>
      </c>
      <c r="BN73" s="13" t="s">
        <v>382</v>
      </c>
      <c r="BO73" s="13">
        <v>56</v>
      </c>
      <c r="BP73" s="14">
        <v>64.8</v>
      </c>
      <c r="BQ73" s="14" t="s">
        <v>80</v>
      </c>
      <c r="BR73" s="13">
        <v>38.1</v>
      </c>
      <c r="BS73" s="14">
        <v>17.5</v>
      </c>
      <c r="BT73" s="14">
        <v>40</v>
      </c>
      <c r="BU73" s="14">
        <v>42</v>
      </c>
      <c r="BV73" s="14"/>
      <c r="BW73" s="13" t="s">
        <v>50</v>
      </c>
      <c r="BX73" s="13" t="s">
        <v>311</v>
      </c>
      <c r="BY73" s="13">
        <v>5.5</v>
      </c>
      <c r="BZ73" s="14">
        <v>1.02</v>
      </c>
      <c r="CA73" s="14" t="s">
        <v>108</v>
      </c>
      <c r="CB73" s="13" t="s">
        <v>53</v>
      </c>
      <c r="CC73" s="13" t="s">
        <v>82</v>
      </c>
      <c r="CD73" s="13" t="s">
        <v>54</v>
      </c>
      <c r="CE73" s="13" t="s">
        <v>83</v>
      </c>
      <c r="CF73" s="13" t="s">
        <v>56</v>
      </c>
      <c r="CG73" s="13" t="s">
        <v>57</v>
      </c>
      <c r="CH73" s="13" t="s">
        <v>383</v>
      </c>
    </row>
    <row r="74" spans="21:86" x14ac:dyDescent="0.3">
      <c r="U74" s="13" t="s">
        <v>384</v>
      </c>
      <c r="V74" s="13" t="str">
        <f>HYPERLINK("https://diamdna.azureedge.net/imaged/la25-23/still.jpg ","Image")</f>
        <v>Image</v>
      </c>
      <c r="W74" s="13" t="str">
        <f>HYPERLINK("https://diamdna.azureedge.net/Vision360.html?d=la25-23&amp;sr=-30&amp;s=30 ","Video")</f>
        <v>Video</v>
      </c>
      <c r="X74" s="13" t="str">
        <f>HYPERLINK("https://diamdna.azureedge.net/imaged/la25-23/video.mp4 ","Download")</f>
        <v>Download</v>
      </c>
      <c r="Y74" s="13" t="s">
        <v>42</v>
      </c>
      <c r="Z74" s="13" t="str">
        <f>HYPERLINK("https://diamdna.azureedge.net/reports/5546346555.pdf#zoom=150 ","5546346555")</f>
        <v>5546346555</v>
      </c>
      <c r="AA74" s="13" t="s">
        <v>43</v>
      </c>
      <c r="AB74" s="13">
        <v>2.0099999999999998</v>
      </c>
      <c r="AC74" s="14" t="s">
        <v>69</v>
      </c>
      <c r="AD74" s="13" t="s">
        <v>60</v>
      </c>
      <c r="AE74" s="13">
        <v>7800</v>
      </c>
      <c r="AF74" s="14">
        <v>15677.999999999998</v>
      </c>
      <c r="AG74" s="14">
        <v>-52</v>
      </c>
      <c r="AH74" s="14">
        <v>3744</v>
      </c>
      <c r="AI74" s="14">
        <v>7525.44</v>
      </c>
      <c r="AJ74" s="14" t="s">
        <v>120</v>
      </c>
      <c r="AK74" s="13" t="s">
        <v>46</v>
      </c>
      <c r="AL74" s="13" t="s">
        <v>46</v>
      </c>
      <c r="AM74" s="13" t="s">
        <v>49</v>
      </c>
      <c r="AN74" s="13" t="s">
        <v>385</v>
      </c>
      <c r="AO74" s="13">
        <v>58</v>
      </c>
      <c r="AP74" s="14">
        <v>64.400000000000006</v>
      </c>
      <c r="AQ74" s="14" t="s">
        <v>49</v>
      </c>
      <c r="AR74" s="13">
        <v>37</v>
      </c>
      <c r="AS74" s="14">
        <v>16</v>
      </c>
      <c r="AT74" s="14">
        <v>40.799999999999997</v>
      </c>
      <c r="AU74" s="13" t="s">
        <v>384</v>
      </c>
      <c r="AV74" s="13" t="str">
        <f>HYPERLINK("https://diamdna.azureedge.net/imaged/la25-23/still.jpg ","Image")</f>
        <v>Image</v>
      </c>
      <c r="AW74" s="13" t="str">
        <f>HYPERLINK("https://diamdna.azureedge.net/Vision360.html?d=la25-23&amp;sr=-30&amp;s=30 ","Video")</f>
        <v>Video</v>
      </c>
      <c r="AX74" s="13" t="str">
        <f>HYPERLINK("https://diamdna.azureedge.net/imaged/la25-23/video.mp4 ","Download")</f>
        <v>Download</v>
      </c>
      <c r="AY74" s="13" t="s">
        <v>42</v>
      </c>
      <c r="AZ74" s="13" t="str">
        <f>HYPERLINK("https://diamdna.azureedge.net/reports/5546346555.pdf#zoom=150 ","5546346555")</f>
        <v>5546346555</v>
      </c>
      <c r="BA74" s="13" t="s">
        <v>43</v>
      </c>
      <c r="BB74" s="13">
        <v>2.0099999999999998</v>
      </c>
      <c r="BC74" s="14" t="s">
        <v>69</v>
      </c>
      <c r="BD74" s="13" t="s">
        <v>60</v>
      </c>
      <c r="BE74" s="13">
        <v>7800</v>
      </c>
      <c r="BF74" s="14">
        <v>15677.999999999998</v>
      </c>
      <c r="BG74" s="14">
        <v>-52</v>
      </c>
      <c r="BH74" s="14">
        <v>3744</v>
      </c>
      <c r="BI74" s="14">
        <v>7525.44</v>
      </c>
      <c r="BJ74" s="14" t="s">
        <v>120</v>
      </c>
      <c r="BK74" s="13" t="s">
        <v>46</v>
      </c>
      <c r="BL74" s="13" t="s">
        <v>46</v>
      </c>
      <c r="BM74" s="13" t="s">
        <v>49</v>
      </c>
      <c r="BN74" s="13" t="s">
        <v>385</v>
      </c>
      <c r="BO74" s="13">
        <v>58</v>
      </c>
      <c r="BP74" s="14">
        <v>64.400000000000006</v>
      </c>
      <c r="BQ74" s="14" t="s">
        <v>49</v>
      </c>
      <c r="BR74" s="13">
        <v>37</v>
      </c>
      <c r="BS74" s="14">
        <v>16</v>
      </c>
      <c r="BT74" s="14">
        <v>40.799999999999997</v>
      </c>
      <c r="BU74" s="14">
        <v>43</v>
      </c>
      <c r="BV74" s="14" t="s">
        <v>386</v>
      </c>
      <c r="BW74" s="13" t="s">
        <v>50</v>
      </c>
      <c r="BX74" s="13" t="s">
        <v>311</v>
      </c>
      <c r="BY74" s="13">
        <v>5.5</v>
      </c>
      <c r="BZ74" s="14">
        <v>1.01</v>
      </c>
      <c r="CA74" s="14" t="s">
        <v>52</v>
      </c>
      <c r="CB74" s="13" t="s">
        <v>53</v>
      </c>
      <c r="CC74" s="13" t="s">
        <v>387</v>
      </c>
      <c r="CD74" s="13" t="s">
        <v>54</v>
      </c>
      <c r="CE74" s="13" t="s">
        <v>110</v>
      </c>
      <c r="CF74" s="13" t="s">
        <v>56</v>
      </c>
      <c r="CG74" s="13" t="s">
        <v>65</v>
      </c>
      <c r="CH74" s="13" t="s">
        <v>144</v>
      </c>
    </row>
    <row r="75" spans="21:86" x14ac:dyDescent="0.3">
      <c r="U75" s="13" t="s">
        <v>388</v>
      </c>
      <c r="V75" s="13" t="str">
        <f>HYPERLINK("https://diamdna.azureedge.net/imaged/la25-3/still.jpg ","Image")</f>
        <v>Image</v>
      </c>
      <c r="W75" s="13" t="str">
        <f>HYPERLINK("https://diamdna.azureedge.net/Vision360.html?d=la25-3&amp;sr=-30&amp;s=30 ","Video")</f>
        <v>Video</v>
      </c>
      <c r="X75" s="13" t="str">
        <f>HYPERLINK("https://diamdna.azureedge.net/imaged/la25-3/video.mp4 ","Download")</f>
        <v>Download</v>
      </c>
      <c r="Y75" s="13" t="s">
        <v>42</v>
      </c>
      <c r="Z75" s="13" t="str">
        <f>HYPERLINK("https://diamdna.azureedge.net/reports/3545346429.pdf#zoom=150 ","3545346429")</f>
        <v>3545346429</v>
      </c>
      <c r="AA75" s="13" t="s">
        <v>43</v>
      </c>
      <c r="AB75" s="13">
        <v>2.0099999999999998</v>
      </c>
      <c r="AC75" s="14" t="s">
        <v>44</v>
      </c>
      <c r="AD75" s="13" t="s">
        <v>133</v>
      </c>
      <c r="AE75" s="13">
        <v>6900</v>
      </c>
      <c r="AF75" s="14">
        <v>13868.999999999998</v>
      </c>
      <c r="AG75" s="14">
        <v>-58.5</v>
      </c>
      <c r="AH75" s="14">
        <v>2863.5</v>
      </c>
      <c r="AI75" s="14">
        <v>5755.64</v>
      </c>
      <c r="AJ75" s="14" t="s">
        <v>374</v>
      </c>
      <c r="AK75" s="13" t="s">
        <v>46</v>
      </c>
      <c r="AL75" s="13" t="s">
        <v>374</v>
      </c>
      <c r="AM75" s="13" t="s">
        <v>49</v>
      </c>
      <c r="AN75" s="13" t="s">
        <v>389</v>
      </c>
      <c r="AO75" s="13">
        <v>59</v>
      </c>
      <c r="AP75" s="14">
        <v>66.900000000000006</v>
      </c>
      <c r="AQ75" s="14" t="s">
        <v>49</v>
      </c>
      <c r="AR75" s="13">
        <v>40</v>
      </c>
      <c r="AS75" s="14">
        <v>17.5</v>
      </c>
      <c r="AT75" s="14">
        <v>40.4</v>
      </c>
      <c r="AU75" s="13" t="s">
        <v>388</v>
      </c>
      <c r="AV75" s="13" t="str">
        <f>HYPERLINK("https://diamdna.azureedge.net/imaged/la25-3/still.jpg ","Image")</f>
        <v>Image</v>
      </c>
      <c r="AW75" s="13" t="str">
        <f>HYPERLINK("https://diamdna.azureedge.net/Vision360.html?d=la25-3&amp;sr=-30&amp;s=30 ","Video")</f>
        <v>Video</v>
      </c>
      <c r="AX75" s="13" t="str">
        <f>HYPERLINK("https://diamdna.azureedge.net/imaged/la25-3/video.mp4 ","Download")</f>
        <v>Download</v>
      </c>
      <c r="AY75" s="13" t="s">
        <v>42</v>
      </c>
      <c r="AZ75" s="13" t="str">
        <f>HYPERLINK("https://diamdna.azureedge.net/reports/3545346429.pdf#zoom=150 ","3545346429")</f>
        <v>3545346429</v>
      </c>
      <c r="BA75" s="13" t="s">
        <v>43</v>
      </c>
      <c r="BB75" s="13">
        <v>2.0099999999999998</v>
      </c>
      <c r="BC75" s="14" t="s">
        <v>44</v>
      </c>
      <c r="BD75" s="13" t="s">
        <v>133</v>
      </c>
      <c r="BE75" s="13">
        <v>6900</v>
      </c>
      <c r="BF75" s="14">
        <v>13868.999999999998</v>
      </c>
      <c r="BG75" s="14">
        <v>-58.5</v>
      </c>
      <c r="BH75" s="14">
        <v>2863.5</v>
      </c>
      <c r="BI75" s="14">
        <v>5755.64</v>
      </c>
      <c r="BJ75" s="14" t="s">
        <v>374</v>
      </c>
      <c r="BK75" s="13" t="s">
        <v>46</v>
      </c>
      <c r="BL75" s="13" t="s">
        <v>374</v>
      </c>
      <c r="BM75" s="13" t="s">
        <v>49</v>
      </c>
      <c r="BN75" s="13" t="s">
        <v>389</v>
      </c>
      <c r="BO75" s="13">
        <v>59</v>
      </c>
      <c r="BP75" s="14">
        <v>66.900000000000006</v>
      </c>
      <c r="BQ75" s="14" t="s">
        <v>49</v>
      </c>
      <c r="BR75" s="13">
        <v>40</v>
      </c>
      <c r="BS75" s="14">
        <v>17.5</v>
      </c>
      <c r="BT75" s="14">
        <v>40.4</v>
      </c>
      <c r="BU75" s="14">
        <v>42.5</v>
      </c>
      <c r="BV75" s="14" t="s">
        <v>390</v>
      </c>
      <c r="BW75" s="13" t="s">
        <v>50</v>
      </c>
      <c r="BX75" s="13" t="s">
        <v>202</v>
      </c>
      <c r="BY75" s="13">
        <v>7</v>
      </c>
      <c r="BZ75" s="14">
        <v>1.01</v>
      </c>
      <c r="CA75" s="14" t="s">
        <v>99</v>
      </c>
      <c r="CB75" s="13" t="s">
        <v>54</v>
      </c>
      <c r="CC75" s="13" t="s">
        <v>64</v>
      </c>
      <c r="CD75" s="13" t="s">
        <v>54</v>
      </c>
      <c r="CE75" s="13" t="s">
        <v>110</v>
      </c>
      <c r="CF75" s="13" t="s">
        <v>56</v>
      </c>
      <c r="CG75" s="13" t="s">
        <v>130</v>
      </c>
      <c r="CH75" s="13" t="s">
        <v>144</v>
      </c>
    </row>
    <row r="76" spans="21:86" x14ac:dyDescent="0.3">
      <c r="U76" s="13" t="s">
        <v>391</v>
      </c>
      <c r="V76" s="13" t="str">
        <f>HYPERLINK("https://diamdna.azureedge.net/imaged/gr-143/still.jpg ","Image")</f>
        <v>Image</v>
      </c>
      <c r="W76" s="13" t="str">
        <f>HYPERLINK("https://diamdna.azureedge.net/Vision360.html?d=gr-143&amp;sr=-30&amp;s=30 ","Video")</f>
        <v>Video</v>
      </c>
      <c r="X76" s="13" t="str">
        <f>HYPERLINK("https://diamdna.azureedge.net/imaged/gr-143/video.mp4 ","Download")</f>
        <v>Download</v>
      </c>
      <c r="Y76" s="13" t="s">
        <v>42</v>
      </c>
      <c r="Z76" s="13" t="str">
        <f>HYPERLINK("https://diamdna.azureedge.net/reports/2528427604.pdf#zoom=150 ","2528427604")</f>
        <v>2528427604</v>
      </c>
      <c r="AA76" s="13" t="s">
        <v>43</v>
      </c>
      <c r="AB76" s="13">
        <v>2.0099999999999998</v>
      </c>
      <c r="AC76" s="14" t="s">
        <v>44</v>
      </c>
      <c r="AD76" s="13" t="s">
        <v>60</v>
      </c>
      <c r="AE76" s="13">
        <v>6300</v>
      </c>
      <c r="AF76" s="14">
        <v>12662.999999999998</v>
      </c>
      <c r="AG76" s="14">
        <v>-63</v>
      </c>
      <c r="AH76" s="14">
        <v>2331</v>
      </c>
      <c r="AI76" s="14">
        <v>4685.3100000000004</v>
      </c>
      <c r="AJ76" s="14" t="s">
        <v>120</v>
      </c>
      <c r="AK76" s="13" t="s">
        <v>46</v>
      </c>
      <c r="AL76" s="13" t="s">
        <v>46</v>
      </c>
      <c r="AM76" s="13" t="s">
        <v>87</v>
      </c>
      <c r="AN76" s="13" t="s">
        <v>392</v>
      </c>
      <c r="AO76" s="13">
        <v>57</v>
      </c>
      <c r="AP76" s="14">
        <v>64.2</v>
      </c>
      <c r="AQ76" s="14" t="s">
        <v>49</v>
      </c>
      <c r="AR76" s="13">
        <v>38</v>
      </c>
      <c r="AS76" s="14">
        <v>17</v>
      </c>
      <c r="AT76" s="14">
        <v>40.200000000000003</v>
      </c>
      <c r="AU76" s="13" t="s">
        <v>391</v>
      </c>
      <c r="AV76" s="13" t="str">
        <f>HYPERLINK("https://diamdna.azureedge.net/imaged/gr-143/still.jpg ","Image")</f>
        <v>Image</v>
      </c>
      <c r="AW76" s="13" t="str">
        <f>HYPERLINK("https://diamdna.azureedge.net/Vision360.html?d=gr-143&amp;sr=-30&amp;s=30 ","Video")</f>
        <v>Video</v>
      </c>
      <c r="AX76" s="13" t="str">
        <f>HYPERLINK("https://diamdna.azureedge.net/imaged/gr-143/video.mp4 ","Download")</f>
        <v>Download</v>
      </c>
      <c r="AY76" s="13" t="s">
        <v>42</v>
      </c>
      <c r="AZ76" s="13" t="str">
        <f>HYPERLINK("https://diamdna.azureedge.net/reports/2528427604.pdf#zoom=150 ","2528427604")</f>
        <v>2528427604</v>
      </c>
      <c r="BA76" s="13" t="s">
        <v>43</v>
      </c>
      <c r="BB76" s="13">
        <v>2.0099999999999998</v>
      </c>
      <c r="BC76" s="14" t="s">
        <v>44</v>
      </c>
      <c r="BD76" s="13" t="s">
        <v>60</v>
      </c>
      <c r="BE76" s="13">
        <v>6300</v>
      </c>
      <c r="BF76" s="14">
        <v>12662.999999999998</v>
      </c>
      <c r="BG76" s="14">
        <v>-63</v>
      </c>
      <c r="BH76" s="14">
        <v>2331</v>
      </c>
      <c r="BI76" s="14">
        <v>4685.3100000000004</v>
      </c>
      <c r="BJ76" s="14" t="s">
        <v>120</v>
      </c>
      <c r="BK76" s="13" t="s">
        <v>46</v>
      </c>
      <c r="BL76" s="13" t="s">
        <v>46</v>
      </c>
      <c r="BM76" s="13" t="s">
        <v>87</v>
      </c>
      <c r="BN76" s="13" t="s">
        <v>392</v>
      </c>
      <c r="BO76" s="13">
        <v>57</v>
      </c>
      <c r="BP76" s="14">
        <v>64.2</v>
      </c>
      <c r="BQ76" s="14" t="s">
        <v>49</v>
      </c>
      <c r="BR76" s="13">
        <v>38</v>
      </c>
      <c r="BS76" s="14">
        <v>17</v>
      </c>
      <c r="BT76" s="14">
        <v>40.200000000000003</v>
      </c>
      <c r="BU76" s="14">
        <v>42</v>
      </c>
      <c r="BV76" s="14" t="s">
        <v>393</v>
      </c>
      <c r="BW76" s="13" t="s">
        <v>50</v>
      </c>
      <c r="BX76" s="13" t="s">
        <v>72</v>
      </c>
      <c r="BY76" s="13">
        <v>5</v>
      </c>
      <c r="BZ76" s="14">
        <v>1.01</v>
      </c>
      <c r="CA76" s="14" t="s">
        <v>137</v>
      </c>
      <c r="CB76" s="13" t="s">
        <v>53</v>
      </c>
      <c r="CC76" s="13" t="s">
        <v>394</v>
      </c>
      <c r="CD76" s="13" t="s">
        <v>54</v>
      </c>
      <c r="CE76" s="13" t="s">
        <v>83</v>
      </c>
      <c r="CF76" s="13" t="s">
        <v>56</v>
      </c>
      <c r="CG76" s="13" t="s">
        <v>57</v>
      </c>
      <c r="CH76" s="13" t="s">
        <v>312</v>
      </c>
    </row>
    <row r="77" spans="21:86" x14ac:dyDescent="0.3">
      <c r="U77" s="13" t="s">
        <v>395</v>
      </c>
      <c r="V77" s="13" t="str">
        <f>HYPERLINK("https://diamdna.azureedge.net/imaged/la25-129/still.jpg ","Image")</f>
        <v>Image</v>
      </c>
      <c r="W77" s="13" t="str">
        <f>HYPERLINK("https://diamdna.azureedge.net/Vision360.html?d=la25-129&amp;sr=-30&amp;s=30 ","Video")</f>
        <v>Video</v>
      </c>
      <c r="X77" s="13" t="str">
        <f>HYPERLINK("https://diamdna.azureedge.net/imaged/la25-129/video.mp4 ","Download")</f>
        <v>Download</v>
      </c>
      <c r="Y77" s="13" t="s">
        <v>42</v>
      </c>
      <c r="Z77" s="13" t="str">
        <f>HYPERLINK("https://diamdna.azureedge.net/reports/2544346616.pdf#zoom=150 ","2544346616")</f>
        <v>2544346616</v>
      </c>
      <c r="AA77" s="13" t="s">
        <v>43</v>
      </c>
      <c r="AB77" s="13">
        <v>2.0099999999999998</v>
      </c>
      <c r="AC77" s="14" t="s">
        <v>44</v>
      </c>
      <c r="AD77" s="13" t="s">
        <v>60</v>
      </c>
      <c r="AE77" s="13">
        <v>6300</v>
      </c>
      <c r="AF77" s="14">
        <v>12662.999999999998</v>
      </c>
      <c r="AG77" s="14">
        <v>-62</v>
      </c>
      <c r="AH77" s="14">
        <v>2394</v>
      </c>
      <c r="AI77" s="14">
        <v>4811.9399999999996</v>
      </c>
      <c r="AJ77" s="14" t="s">
        <v>120</v>
      </c>
      <c r="AK77" s="13" t="s">
        <v>46</v>
      </c>
      <c r="AL77" s="13" t="s">
        <v>120</v>
      </c>
      <c r="AM77" s="13" t="s">
        <v>87</v>
      </c>
      <c r="AN77" s="13" t="s">
        <v>396</v>
      </c>
      <c r="AO77" s="13">
        <v>57</v>
      </c>
      <c r="AP77" s="14">
        <v>64.400000000000006</v>
      </c>
      <c r="AQ77" s="14" t="s">
        <v>49</v>
      </c>
      <c r="AR77" s="13">
        <v>38.5</v>
      </c>
      <c r="AS77" s="14">
        <v>17.5</v>
      </c>
      <c r="AT77" s="14">
        <v>39.799999999999997</v>
      </c>
      <c r="AU77" s="13" t="s">
        <v>395</v>
      </c>
      <c r="AV77" s="13" t="str">
        <f>HYPERLINK("https://diamdna.azureedge.net/imaged/la25-129/still.jpg ","Image")</f>
        <v>Image</v>
      </c>
      <c r="AW77" s="13" t="str">
        <f>HYPERLINK("https://diamdna.azureedge.net/Vision360.html?d=la25-129&amp;sr=-30&amp;s=30 ","Video")</f>
        <v>Video</v>
      </c>
      <c r="AX77" s="13" t="str">
        <f>HYPERLINK("https://diamdna.azureedge.net/imaged/la25-129/video.mp4 ","Download")</f>
        <v>Download</v>
      </c>
      <c r="AY77" s="13" t="s">
        <v>42</v>
      </c>
      <c r="AZ77" s="13" t="str">
        <f>HYPERLINK("https://diamdna.azureedge.net/reports/2544346616.pdf#zoom=150 ","2544346616")</f>
        <v>2544346616</v>
      </c>
      <c r="BA77" s="13" t="s">
        <v>43</v>
      </c>
      <c r="BB77" s="13">
        <v>2.0099999999999998</v>
      </c>
      <c r="BC77" s="14" t="s">
        <v>44</v>
      </c>
      <c r="BD77" s="13" t="s">
        <v>60</v>
      </c>
      <c r="BE77" s="13">
        <v>6300</v>
      </c>
      <c r="BF77" s="14">
        <v>12662.999999999998</v>
      </c>
      <c r="BG77" s="14">
        <v>-62</v>
      </c>
      <c r="BH77" s="14">
        <v>2394</v>
      </c>
      <c r="BI77" s="14">
        <v>4811.9399999999996</v>
      </c>
      <c r="BJ77" s="14" t="s">
        <v>120</v>
      </c>
      <c r="BK77" s="13" t="s">
        <v>46</v>
      </c>
      <c r="BL77" s="13" t="s">
        <v>120</v>
      </c>
      <c r="BM77" s="13" t="s">
        <v>87</v>
      </c>
      <c r="BN77" s="13" t="s">
        <v>396</v>
      </c>
      <c r="BO77" s="13">
        <v>57</v>
      </c>
      <c r="BP77" s="14">
        <v>64.400000000000006</v>
      </c>
      <c r="BQ77" s="14" t="s">
        <v>49</v>
      </c>
      <c r="BR77" s="13">
        <v>38.5</v>
      </c>
      <c r="BS77" s="14">
        <v>17.5</v>
      </c>
      <c r="BT77" s="14">
        <v>39.799999999999997</v>
      </c>
      <c r="BU77" s="14">
        <v>41.5</v>
      </c>
      <c r="BV77" s="14" t="s">
        <v>397</v>
      </c>
      <c r="BW77" s="13" t="s">
        <v>50</v>
      </c>
      <c r="BX77" s="13" t="s">
        <v>311</v>
      </c>
      <c r="BY77" s="13">
        <v>5.5</v>
      </c>
      <c r="BZ77" s="14">
        <v>1.01</v>
      </c>
      <c r="CA77" s="14" t="s">
        <v>137</v>
      </c>
      <c r="CB77" s="13" t="s">
        <v>54</v>
      </c>
      <c r="CC77" s="13" t="s">
        <v>129</v>
      </c>
      <c r="CD77" s="13" t="s">
        <v>54</v>
      </c>
      <c r="CE77" s="13" t="s">
        <v>110</v>
      </c>
      <c r="CF77" s="13" t="s">
        <v>56</v>
      </c>
      <c r="CG77" s="13" t="s">
        <v>57</v>
      </c>
      <c r="CH77" s="13" t="s">
        <v>144</v>
      </c>
    </row>
    <row r="78" spans="21:86" x14ac:dyDescent="0.3">
      <c r="U78" s="13" t="s">
        <v>398</v>
      </c>
      <c r="V78" s="13" t="str">
        <f>HYPERLINK("https://diamdna.azureedge.net/imaged/azp-32/still.jpg ","Image")</f>
        <v>Image</v>
      </c>
      <c r="W78" s="13" t="str">
        <f>HYPERLINK("https://diamdna.azureedge.net/Vision360.html?d=azp-32&amp;sr=-30&amp;s=30 ","Video")</f>
        <v>Video</v>
      </c>
      <c r="X78" s="13" t="str">
        <f>HYPERLINK("https://diamdna.azureedge.net/imaged/azp-32/video.mp4 ","Download")</f>
        <v>Download</v>
      </c>
      <c r="Y78" s="13" t="s">
        <v>42</v>
      </c>
      <c r="Z78" s="13" t="str">
        <f>HYPERLINK("https://diamdna.azureedge.net/reports/3515189781.pdf#zoom=150 ","3515189781")</f>
        <v>3515189781</v>
      </c>
      <c r="AA78" s="13" t="s">
        <v>43</v>
      </c>
      <c r="AB78" s="13">
        <v>2.0099999999999998</v>
      </c>
      <c r="AC78" s="14" t="s">
        <v>44</v>
      </c>
      <c r="AD78" s="13" t="s">
        <v>60</v>
      </c>
      <c r="AE78" s="13">
        <v>6300</v>
      </c>
      <c r="AF78" s="14">
        <v>12662.999999999998</v>
      </c>
      <c r="AG78" s="14">
        <v>-57.5</v>
      </c>
      <c r="AH78" s="14">
        <v>2677.5</v>
      </c>
      <c r="AI78" s="14">
        <v>5381.78</v>
      </c>
      <c r="AJ78" s="14" t="s">
        <v>120</v>
      </c>
      <c r="AK78" s="13" t="s">
        <v>46</v>
      </c>
      <c r="AL78" s="13" t="s">
        <v>120</v>
      </c>
      <c r="AM78" s="13" t="s">
        <v>49</v>
      </c>
      <c r="AN78" s="13" t="s">
        <v>399</v>
      </c>
      <c r="AO78" s="13">
        <v>57</v>
      </c>
      <c r="AP78" s="14">
        <v>63.5</v>
      </c>
      <c r="AQ78" s="14" t="s">
        <v>49</v>
      </c>
      <c r="AR78" s="13">
        <v>38.5</v>
      </c>
      <c r="AS78" s="14">
        <v>17</v>
      </c>
      <c r="AT78" s="14">
        <v>39.799999999999997</v>
      </c>
      <c r="AU78" s="13" t="s">
        <v>398</v>
      </c>
      <c r="AV78" s="13" t="str">
        <f>HYPERLINK("https://diamdna.azureedge.net/imaged/azp-32/still.jpg ","Image")</f>
        <v>Image</v>
      </c>
      <c r="AW78" s="13" t="str">
        <f>HYPERLINK("https://diamdna.azureedge.net/Vision360.html?d=azp-32&amp;sr=-30&amp;s=30 ","Video")</f>
        <v>Video</v>
      </c>
      <c r="AX78" s="13" t="str">
        <f>HYPERLINK("https://diamdna.azureedge.net/imaged/azp-32/video.mp4 ","Download")</f>
        <v>Download</v>
      </c>
      <c r="AY78" s="13" t="s">
        <v>42</v>
      </c>
      <c r="AZ78" s="13" t="str">
        <f>HYPERLINK("https://diamdna.azureedge.net/reports/3515189781.pdf#zoom=150 ","3515189781")</f>
        <v>3515189781</v>
      </c>
      <c r="BA78" s="13" t="s">
        <v>43</v>
      </c>
      <c r="BB78" s="13">
        <v>2.0099999999999998</v>
      </c>
      <c r="BC78" s="14" t="s">
        <v>44</v>
      </c>
      <c r="BD78" s="13" t="s">
        <v>60</v>
      </c>
      <c r="BE78" s="13">
        <v>6300</v>
      </c>
      <c r="BF78" s="14">
        <v>12662.999999999998</v>
      </c>
      <c r="BG78" s="14">
        <v>-57.5</v>
      </c>
      <c r="BH78" s="14">
        <v>2677.5</v>
      </c>
      <c r="BI78" s="14">
        <v>5381.78</v>
      </c>
      <c r="BJ78" s="14" t="s">
        <v>120</v>
      </c>
      <c r="BK78" s="13" t="s">
        <v>46</v>
      </c>
      <c r="BL78" s="13" t="s">
        <v>120</v>
      </c>
      <c r="BM78" s="13" t="s">
        <v>49</v>
      </c>
      <c r="BN78" s="13" t="s">
        <v>399</v>
      </c>
      <c r="BO78" s="13">
        <v>57</v>
      </c>
      <c r="BP78" s="14">
        <v>63.5</v>
      </c>
      <c r="BQ78" s="14" t="s">
        <v>49</v>
      </c>
      <c r="BR78" s="13">
        <v>38.5</v>
      </c>
      <c r="BS78" s="14">
        <v>17</v>
      </c>
      <c r="BT78" s="14">
        <v>39.799999999999997</v>
      </c>
      <c r="BU78" s="14">
        <v>41.5</v>
      </c>
      <c r="BV78" s="14" t="s">
        <v>400</v>
      </c>
      <c r="BW78" s="13" t="s">
        <v>50</v>
      </c>
      <c r="BX78" s="13" t="s">
        <v>72</v>
      </c>
      <c r="BY78" s="13">
        <v>4.5</v>
      </c>
      <c r="BZ78" s="14">
        <v>1.01</v>
      </c>
      <c r="CA78" s="14" t="s">
        <v>137</v>
      </c>
      <c r="CB78" s="13" t="s">
        <v>128</v>
      </c>
      <c r="CC78" s="13" t="s">
        <v>115</v>
      </c>
      <c r="CD78" s="13" t="s">
        <v>54</v>
      </c>
      <c r="CE78" s="13" t="s">
        <v>93</v>
      </c>
      <c r="CF78" s="13" t="s">
        <v>56</v>
      </c>
      <c r="CG78" s="13" t="s">
        <v>57</v>
      </c>
      <c r="CH78" s="13" t="s">
        <v>401</v>
      </c>
    </row>
    <row r="79" spans="21:86" x14ac:dyDescent="0.3">
      <c r="U79" s="13" t="s">
        <v>402</v>
      </c>
      <c r="V79" s="13" t="str">
        <f>HYPERLINK("https://diamdna.azureedge.net/imaged/nb26-60/still.jpg ","Image")</f>
        <v>Image</v>
      </c>
      <c r="W79" s="13" t="str">
        <f>HYPERLINK("https://diamdna.azureedge.net/Vision360.html?d=nb26-60&amp;sr=-30&amp;s=30 ","Video")</f>
        <v>Video</v>
      </c>
      <c r="X79" s="13" t="str">
        <f>HYPERLINK("https://diamdna.azureedge.net/imaged/nb26-60/video.mp4 ","Download")</f>
        <v>Download</v>
      </c>
      <c r="Y79" s="13" t="s">
        <v>76</v>
      </c>
      <c r="Z79" s="13" t="str">
        <f>HYPERLINK("https://diamdna.azureedge.net/reports/784608447.pdf#zoom=150 ","784608447")</f>
        <v>784608447</v>
      </c>
      <c r="AA79" s="13" t="s">
        <v>43</v>
      </c>
      <c r="AB79" s="13">
        <v>2.0099999999999998</v>
      </c>
      <c r="AC79" s="14" t="s">
        <v>77</v>
      </c>
      <c r="AD79" s="13" t="s">
        <v>78</v>
      </c>
      <c r="AE79" s="13">
        <v>6300</v>
      </c>
      <c r="AF79" s="14">
        <v>12662.999999999998</v>
      </c>
      <c r="AG79" s="14">
        <v>-70.5</v>
      </c>
      <c r="AH79" s="14">
        <v>1858.5</v>
      </c>
      <c r="AI79" s="14">
        <v>3735.59</v>
      </c>
      <c r="AJ79" s="14" t="s">
        <v>362</v>
      </c>
      <c r="AK79" s="13" t="s">
        <v>46</v>
      </c>
      <c r="AL79" s="13" t="s">
        <v>120</v>
      </c>
      <c r="AM79" s="13" t="s">
        <v>49</v>
      </c>
      <c r="AN79" s="13" t="s">
        <v>403</v>
      </c>
      <c r="AO79" s="13">
        <v>56</v>
      </c>
      <c r="AP79" s="14">
        <v>65.7</v>
      </c>
      <c r="AQ79" s="14" t="s">
        <v>80</v>
      </c>
      <c r="AR79" s="13">
        <v>40</v>
      </c>
      <c r="AS79" s="14">
        <v>18.5</v>
      </c>
      <c r="AT79" s="14">
        <v>39.200000000000003</v>
      </c>
      <c r="AU79" s="13" t="s">
        <v>402</v>
      </c>
      <c r="AV79" s="13" t="str">
        <f>HYPERLINK("https://diamdna.azureedge.net/imaged/nb26-60/still.jpg ","Image")</f>
        <v>Image</v>
      </c>
      <c r="AW79" s="13" t="str">
        <f>HYPERLINK("https://diamdna.azureedge.net/Vision360.html?d=nb26-60&amp;sr=-30&amp;s=30 ","Video")</f>
        <v>Video</v>
      </c>
      <c r="AX79" s="13" t="str">
        <f>HYPERLINK("https://diamdna.azureedge.net/imaged/nb26-60/video.mp4 ","Download")</f>
        <v>Download</v>
      </c>
      <c r="AY79" s="13" t="s">
        <v>76</v>
      </c>
      <c r="AZ79" s="13" t="str">
        <f>HYPERLINK("https://diamdna.azureedge.net/reports/784608447.pdf#zoom=150 ","784608447")</f>
        <v>784608447</v>
      </c>
      <c r="BA79" s="13" t="s">
        <v>43</v>
      </c>
      <c r="BB79" s="13">
        <v>2.0099999999999998</v>
      </c>
      <c r="BC79" s="14" t="s">
        <v>77</v>
      </c>
      <c r="BD79" s="13" t="s">
        <v>78</v>
      </c>
      <c r="BE79" s="13">
        <v>6300</v>
      </c>
      <c r="BF79" s="14">
        <v>12662.999999999998</v>
      </c>
      <c r="BG79" s="14">
        <v>-70.5</v>
      </c>
      <c r="BH79" s="14">
        <v>1858.5</v>
      </c>
      <c r="BI79" s="14">
        <v>3735.59</v>
      </c>
      <c r="BJ79" s="14" t="s">
        <v>362</v>
      </c>
      <c r="BK79" s="13" t="s">
        <v>46</v>
      </c>
      <c r="BL79" s="13" t="s">
        <v>120</v>
      </c>
      <c r="BM79" s="13" t="s">
        <v>49</v>
      </c>
      <c r="BN79" s="13" t="s">
        <v>403</v>
      </c>
      <c r="BO79" s="13">
        <v>56</v>
      </c>
      <c r="BP79" s="14">
        <v>65.7</v>
      </c>
      <c r="BQ79" s="14" t="s">
        <v>80</v>
      </c>
      <c r="BR79" s="13">
        <v>40</v>
      </c>
      <c r="BS79" s="14">
        <v>18.5</v>
      </c>
      <c r="BT79" s="14">
        <v>39.200000000000003</v>
      </c>
      <c r="BU79" s="14">
        <v>40.5</v>
      </c>
      <c r="BV79" s="14"/>
      <c r="BW79" s="13" t="s">
        <v>50</v>
      </c>
      <c r="BX79" s="13" t="s">
        <v>107</v>
      </c>
      <c r="BY79" s="13">
        <v>6.6</v>
      </c>
      <c r="BZ79" s="14">
        <v>1.01</v>
      </c>
      <c r="CA79" s="14" t="s">
        <v>52</v>
      </c>
      <c r="CB79" s="13" t="s">
        <v>54</v>
      </c>
      <c r="CC79" s="13" t="s">
        <v>82</v>
      </c>
      <c r="CD79" s="13" t="s">
        <v>54</v>
      </c>
      <c r="CE79" s="13" t="s">
        <v>110</v>
      </c>
      <c r="CF79" s="13" t="s">
        <v>56</v>
      </c>
      <c r="CG79" s="13" t="s">
        <v>130</v>
      </c>
      <c r="CH79" s="13" t="s">
        <v>209</v>
      </c>
    </row>
    <row r="80" spans="21:86" x14ac:dyDescent="0.3">
      <c r="U80" s="13" t="s">
        <v>404</v>
      </c>
      <c r="V80" s="13" t="str">
        <f>HYPERLINK("https://diamdna.azureedge.net/imaged/kl25-2/still.jpg ","Image")</f>
        <v>Image</v>
      </c>
      <c r="W80" s="13" t="str">
        <f>HYPERLINK("https://diamdna.azureedge.net/Vision360.html?d=kl25-2&amp;sr=-30&amp;s=30 ","Video")</f>
        <v>Video</v>
      </c>
      <c r="X80" s="13" t="str">
        <f>HYPERLINK("https://diamdna.azureedge.net/imaged/kl25-2/video.mp4 ","Download")</f>
        <v>Download</v>
      </c>
      <c r="Y80" s="13" t="s">
        <v>42</v>
      </c>
      <c r="Z80" s="13" t="str">
        <f>HYPERLINK("https://diamdna.azureedge.net/reports/7548250334.pdf#zoom=150 ","7548250334")</f>
        <v>7548250334</v>
      </c>
      <c r="AA80" s="13" t="s">
        <v>68</v>
      </c>
      <c r="AB80" s="13">
        <v>2.0099999999999998</v>
      </c>
      <c r="AC80" s="14" t="s">
        <v>44</v>
      </c>
      <c r="AD80" s="13" t="s">
        <v>78</v>
      </c>
      <c r="AE80" s="13">
        <v>7400</v>
      </c>
      <c r="AF80" s="14">
        <v>14873.999999999998</v>
      </c>
      <c r="AG80" s="14">
        <v>-49.5</v>
      </c>
      <c r="AH80" s="14">
        <v>3737</v>
      </c>
      <c r="AI80" s="14">
        <v>7511.37</v>
      </c>
      <c r="AJ80" s="14" t="s">
        <v>50</v>
      </c>
      <c r="AK80" s="13" t="s">
        <v>46</v>
      </c>
      <c r="AL80" s="13" t="s">
        <v>46</v>
      </c>
      <c r="AM80" s="13" t="s">
        <v>47</v>
      </c>
      <c r="AN80" s="13" t="s">
        <v>405</v>
      </c>
      <c r="AO80" s="13">
        <v>65</v>
      </c>
      <c r="AP80" s="14">
        <v>65.8</v>
      </c>
      <c r="AQ80" s="14" t="s">
        <v>49</v>
      </c>
      <c r="AR80" s="13">
        <v>0</v>
      </c>
      <c r="AS80" s="14">
        <v>0</v>
      </c>
      <c r="AT80" s="14">
        <v>0</v>
      </c>
      <c r="AU80" s="13" t="s">
        <v>404</v>
      </c>
      <c r="AV80" s="13" t="str">
        <f>HYPERLINK("https://diamdna.azureedge.net/imaged/kl25-2/still.jpg ","Image")</f>
        <v>Image</v>
      </c>
      <c r="AW80" s="13" t="str">
        <f>HYPERLINK("https://diamdna.azureedge.net/Vision360.html?d=kl25-2&amp;sr=-30&amp;s=30 ","Video")</f>
        <v>Video</v>
      </c>
      <c r="AX80" s="13" t="str">
        <f>HYPERLINK("https://diamdna.azureedge.net/imaged/kl25-2/video.mp4 ","Download")</f>
        <v>Download</v>
      </c>
      <c r="AY80" s="13" t="s">
        <v>42</v>
      </c>
      <c r="AZ80" s="13" t="str">
        <f>HYPERLINK("https://diamdna.azureedge.net/reports/7548250334.pdf#zoom=150 ","7548250334")</f>
        <v>7548250334</v>
      </c>
      <c r="BA80" s="13" t="s">
        <v>68</v>
      </c>
      <c r="BB80" s="13">
        <v>2.0099999999999998</v>
      </c>
      <c r="BC80" s="14" t="s">
        <v>44</v>
      </c>
      <c r="BD80" s="13" t="s">
        <v>78</v>
      </c>
      <c r="BE80" s="13">
        <v>7400</v>
      </c>
      <c r="BF80" s="14">
        <v>14873.999999999998</v>
      </c>
      <c r="BG80" s="14">
        <v>-49.5</v>
      </c>
      <c r="BH80" s="14">
        <v>3737</v>
      </c>
      <c r="BI80" s="14">
        <v>7511.37</v>
      </c>
      <c r="BJ80" s="14" t="s">
        <v>50</v>
      </c>
      <c r="BK80" s="13" t="s">
        <v>46</v>
      </c>
      <c r="BL80" s="13" t="s">
        <v>46</v>
      </c>
      <c r="BM80" s="13" t="s">
        <v>47</v>
      </c>
      <c r="BN80" s="13" t="s">
        <v>405</v>
      </c>
      <c r="BO80" s="13">
        <v>65</v>
      </c>
      <c r="BP80" s="14">
        <v>65.8</v>
      </c>
      <c r="BQ80" s="14" t="s">
        <v>49</v>
      </c>
      <c r="BR80" s="13">
        <v>0</v>
      </c>
      <c r="BS80" s="14">
        <v>0</v>
      </c>
      <c r="BT80" s="14">
        <v>0</v>
      </c>
      <c r="BU80" s="14">
        <v>0</v>
      </c>
      <c r="BV80" s="14" t="s">
        <v>406</v>
      </c>
      <c r="BW80" s="13" t="s">
        <v>50</v>
      </c>
      <c r="BX80" s="13" t="s">
        <v>51</v>
      </c>
      <c r="BY80" s="13">
        <v>3.35</v>
      </c>
      <c r="BZ80" s="14">
        <v>1.45</v>
      </c>
      <c r="CA80" s="14" t="s">
        <v>99</v>
      </c>
      <c r="CB80" s="13" t="s">
        <v>54</v>
      </c>
      <c r="CC80" s="13" t="s">
        <v>203</v>
      </c>
      <c r="CD80" s="13" t="s">
        <v>54</v>
      </c>
      <c r="CE80" s="13" t="s">
        <v>110</v>
      </c>
      <c r="CF80" s="13" t="s">
        <v>56</v>
      </c>
      <c r="CG80" s="13" t="s">
        <v>65</v>
      </c>
      <c r="CH80" s="13" t="s">
        <v>278</v>
      </c>
    </row>
    <row r="81" spans="21:86" x14ac:dyDescent="0.3">
      <c r="U81" s="13" t="s">
        <v>407</v>
      </c>
      <c r="V81" s="13" t="str">
        <f>HYPERLINK("https://diamdna.azureedge.net/imaged/kj25-11/still.jpg ","Image")</f>
        <v>Image</v>
      </c>
      <c r="W81" s="13" t="str">
        <f>HYPERLINK("https://diamdna.azureedge.net/Vision360.html?d=kj25-11&amp;sr=-30&amp;s=30 ","Video")</f>
        <v>Video</v>
      </c>
      <c r="X81" s="13" t="str">
        <f>HYPERLINK("https://diamdna.azureedge.net/imaged/kj25-11/video.mp4 ","Download")</f>
        <v>Download</v>
      </c>
      <c r="Y81" s="13" t="s">
        <v>42</v>
      </c>
      <c r="Z81" s="13" t="str">
        <f>HYPERLINK("https://diamdna.azureedge.net/reports/6545188053.pdf#zoom=150 ","6545188053")</f>
        <v>6545188053</v>
      </c>
      <c r="AA81" s="13" t="s">
        <v>408</v>
      </c>
      <c r="AB81" s="13">
        <v>2.0099999999999998</v>
      </c>
      <c r="AC81" s="14" t="s">
        <v>194</v>
      </c>
      <c r="AD81" s="13" t="s">
        <v>125</v>
      </c>
      <c r="AE81" s="13">
        <v>16000</v>
      </c>
      <c r="AF81" s="14">
        <v>32159.999999999996</v>
      </c>
      <c r="AG81" s="14">
        <v>-64.5</v>
      </c>
      <c r="AH81" s="14">
        <v>5680</v>
      </c>
      <c r="AI81" s="14">
        <v>11416.8</v>
      </c>
      <c r="AJ81" s="14" t="s">
        <v>50</v>
      </c>
      <c r="AK81" s="13" t="s">
        <v>46</v>
      </c>
      <c r="AL81" s="13" t="s">
        <v>46</v>
      </c>
      <c r="AM81" s="13" t="s">
        <v>134</v>
      </c>
      <c r="AN81" s="13" t="s">
        <v>409</v>
      </c>
      <c r="AO81" s="13">
        <v>71</v>
      </c>
      <c r="AP81" s="14">
        <v>72.5</v>
      </c>
      <c r="AQ81" s="14" t="s">
        <v>49</v>
      </c>
      <c r="AR81" s="13">
        <v>0</v>
      </c>
      <c r="AS81" s="14">
        <v>0</v>
      </c>
      <c r="AT81" s="14">
        <v>0</v>
      </c>
      <c r="AU81" s="13" t="s">
        <v>407</v>
      </c>
      <c r="AV81" s="13" t="str">
        <f>HYPERLINK("https://diamdna.azureedge.net/imaged/kj25-11/still.jpg ","Image")</f>
        <v>Image</v>
      </c>
      <c r="AW81" s="13" t="str">
        <f>HYPERLINK("https://diamdna.azureedge.net/Vision360.html?d=kj25-11&amp;sr=-30&amp;s=30 ","Video")</f>
        <v>Video</v>
      </c>
      <c r="AX81" s="13" t="str">
        <f>HYPERLINK("https://diamdna.azureedge.net/imaged/kj25-11/video.mp4 ","Download")</f>
        <v>Download</v>
      </c>
      <c r="AY81" s="13" t="s">
        <v>42</v>
      </c>
      <c r="AZ81" s="13" t="str">
        <f>HYPERLINK("https://diamdna.azureedge.net/reports/6545188053.pdf#zoom=150 ","6545188053")</f>
        <v>6545188053</v>
      </c>
      <c r="BA81" s="13" t="s">
        <v>408</v>
      </c>
      <c r="BB81" s="13">
        <v>2.0099999999999998</v>
      </c>
      <c r="BC81" s="14" t="s">
        <v>194</v>
      </c>
      <c r="BD81" s="13" t="s">
        <v>125</v>
      </c>
      <c r="BE81" s="13">
        <v>16000</v>
      </c>
      <c r="BF81" s="14">
        <v>32159.999999999996</v>
      </c>
      <c r="BG81" s="14">
        <v>-64.5</v>
      </c>
      <c r="BH81" s="14">
        <v>5680</v>
      </c>
      <c r="BI81" s="14">
        <v>11416.8</v>
      </c>
      <c r="BJ81" s="14" t="s">
        <v>50</v>
      </c>
      <c r="BK81" s="13" t="s">
        <v>46</v>
      </c>
      <c r="BL81" s="13" t="s">
        <v>46</v>
      </c>
      <c r="BM81" s="13" t="s">
        <v>134</v>
      </c>
      <c r="BN81" s="13" t="s">
        <v>409</v>
      </c>
      <c r="BO81" s="13">
        <v>71</v>
      </c>
      <c r="BP81" s="14">
        <v>72.5</v>
      </c>
      <c r="BQ81" s="14" t="s">
        <v>49</v>
      </c>
      <c r="BR81" s="13">
        <v>0</v>
      </c>
      <c r="BS81" s="14">
        <v>0</v>
      </c>
      <c r="BT81" s="14">
        <v>0</v>
      </c>
      <c r="BU81" s="14">
        <v>0</v>
      </c>
      <c r="BV81" s="14" t="s">
        <v>127</v>
      </c>
      <c r="BW81" s="13" t="s">
        <v>50</v>
      </c>
      <c r="BX81" s="13" t="s">
        <v>51</v>
      </c>
      <c r="BY81" s="13">
        <v>3.25</v>
      </c>
      <c r="BZ81" s="14">
        <v>1.02</v>
      </c>
      <c r="CA81" s="14" t="s">
        <v>52</v>
      </c>
      <c r="CB81" s="13" t="s">
        <v>54</v>
      </c>
      <c r="CC81" s="13" t="s">
        <v>129</v>
      </c>
      <c r="CD81" s="13" t="s">
        <v>54</v>
      </c>
      <c r="CE81" s="13" t="s">
        <v>110</v>
      </c>
      <c r="CF81" s="13" t="s">
        <v>56</v>
      </c>
      <c r="CG81" s="13" t="s">
        <v>57</v>
      </c>
      <c r="CH81" s="13" t="s">
        <v>410</v>
      </c>
    </row>
    <row r="82" spans="21:86" x14ac:dyDescent="0.3">
      <c r="U82" s="13" t="s">
        <v>411</v>
      </c>
      <c r="V82" s="13" t="str">
        <f>HYPERLINK("https://diamdna.azureedge.net/imaged/la25-11/still.jpg ","Image")</f>
        <v>Image</v>
      </c>
      <c r="W82" s="13" t="str">
        <f>HYPERLINK("https://diamdna.azureedge.net/Vision360.html?d=la25-11&amp;sr=-30&amp;s=30 ","Video")</f>
        <v>Video</v>
      </c>
      <c r="X82" s="13" t="str">
        <f>HYPERLINK("https://diamdna.azureedge.net/imaged/la25-11/video.mp4 ","Download")</f>
        <v>Download</v>
      </c>
      <c r="Y82" s="13" t="s">
        <v>42</v>
      </c>
      <c r="Z82" s="13" t="str">
        <f>HYPERLINK("https://diamdna.azureedge.net/reports/7548259727.pdf#zoom=150 ","7548259727")</f>
        <v>7548259727</v>
      </c>
      <c r="AA82" s="13" t="s">
        <v>308</v>
      </c>
      <c r="AB82" s="13">
        <v>2.0099999999999998</v>
      </c>
      <c r="AC82" s="14" t="s">
        <v>119</v>
      </c>
      <c r="AD82" s="13" t="s">
        <v>133</v>
      </c>
      <c r="AE82" s="13">
        <v>9900</v>
      </c>
      <c r="AF82" s="14">
        <v>19898.999999999996</v>
      </c>
      <c r="AG82" s="14">
        <v>-68</v>
      </c>
      <c r="AH82" s="14">
        <v>3168</v>
      </c>
      <c r="AI82" s="14">
        <v>6367.68</v>
      </c>
      <c r="AJ82" s="14" t="s">
        <v>50</v>
      </c>
      <c r="AK82" s="13" t="s">
        <v>46</v>
      </c>
      <c r="AL82" s="13" t="s">
        <v>46</v>
      </c>
      <c r="AM82" s="13" t="s">
        <v>49</v>
      </c>
      <c r="AN82" s="13" t="s">
        <v>412</v>
      </c>
      <c r="AO82" s="13">
        <v>64</v>
      </c>
      <c r="AP82" s="14">
        <v>65.900000000000006</v>
      </c>
      <c r="AQ82" s="14" t="s">
        <v>49</v>
      </c>
      <c r="AR82" s="13">
        <v>0</v>
      </c>
      <c r="AS82" s="14">
        <v>0</v>
      </c>
      <c r="AT82" s="14">
        <v>0</v>
      </c>
      <c r="AU82" s="13" t="s">
        <v>411</v>
      </c>
      <c r="AV82" s="13" t="str">
        <f>HYPERLINK("https://diamdna.azureedge.net/imaged/la25-11/still.jpg ","Image")</f>
        <v>Image</v>
      </c>
      <c r="AW82" s="13" t="str">
        <f>HYPERLINK("https://diamdna.azureedge.net/Vision360.html?d=la25-11&amp;sr=-30&amp;s=30 ","Video")</f>
        <v>Video</v>
      </c>
      <c r="AX82" s="13" t="str">
        <f>HYPERLINK("https://diamdna.azureedge.net/imaged/la25-11/video.mp4 ","Download")</f>
        <v>Download</v>
      </c>
      <c r="AY82" s="13" t="s">
        <v>42</v>
      </c>
      <c r="AZ82" s="13" t="str">
        <f>HYPERLINK("https://diamdna.azureedge.net/reports/7548259727.pdf#zoom=150 ","7548259727")</f>
        <v>7548259727</v>
      </c>
      <c r="BA82" s="13" t="s">
        <v>308</v>
      </c>
      <c r="BB82" s="13">
        <v>2.0099999999999998</v>
      </c>
      <c r="BC82" s="14" t="s">
        <v>119</v>
      </c>
      <c r="BD82" s="13" t="s">
        <v>133</v>
      </c>
      <c r="BE82" s="13">
        <v>9900</v>
      </c>
      <c r="BF82" s="14">
        <v>19898.999999999996</v>
      </c>
      <c r="BG82" s="14">
        <v>-68</v>
      </c>
      <c r="BH82" s="14">
        <v>3168</v>
      </c>
      <c r="BI82" s="14">
        <v>6367.68</v>
      </c>
      <c r="BJ82" s="14" t="s">
        <v>50</v>
      </c>
      <c r="BK82" s="13" t="s">
        <v>46</v>
      </c>
      <c r="BL82" s="13" t="s">
        <v>46</v>
      </c>
      <c r="BM82" s="13" t="s">
        <v>49</v>
      </c>
      <c r="BN82" s="13" t="s">
        <v>412</v>
      </c>
      <c r="BO82" s="13">
        <v>64</v>
      </c>
      <c r="BP82" s="14">
        <v>65.900000000000006</v>
      </c>
      <c r="BQ82" s="14" t="s">
        <v>49</v>
      </c>
      <c r="BR82" s="13">
        <v>0</v>
      </c>
      <c r="BS82" s="14">
        <v>0</v>
      </c>
      <c r="BT82" s="14">
        <v>0</v>
      </c>
      <c r="BU82" s="14">
        <v>0</v>
      </c>
      <c r="BV82" s="14" t="s">
        <v>413</v>
      </c>
      <c r="BW82" s="13" t="s">
        <v>50</v>
      </c>
      <c r="BX82" s="13" t="s">
        <v>51</v>
      </c>
      <c r="BY82" s="13">
        <v>3.35</v>
      </c>
      <c r="BZ82" s="14">
        <v>1.01</v>
      </c>
      <c r="CA82" s="14" t="s">
        <v>99</v>
      </c>
      <c r="CB82" s="13" t="s">
        <v>54</v>
      </c>
      <c r="CC82" s="13" t="s">
        <v>203</v>
      </c>
      <c r="CD82" s="13" t="s">
        <v>414</v>
      </c>
      <c r="CE82" s="13" t="s">
        <v>110</v>
      </c>
      <c r="CF82" s="13" t="s">
        <v>56</v>
      </c>
      <c r="CG82" s="13" t="s">
        <v>57</v>
      </c>
      <c r="CH82" s="13" t="s">
        <v>238</v>
      </c>
    </row>
    <row r="83" spans="21:86" x14ac:dyDescent="0.3">
      <c r="U83" s="13" t="s">
        <v>415</v>
      </c>
      <c r="V83" s="13" t="str">
        <f>HYPERLINK("https://diamdna.azureedge.net/imaged/km25-18/still.jpg ","Image")</f>
        <v>Image</v>
      </c>
      <c r="W83" s="13" t="str">
        <f>HYPERLINK("https://diamdna.azureedge.net/Vision360.html?d=km25-18&amp;sr=-30&amp;s=30 ","Video")</f>
        <v>Video</v>
      </c>
      <c r="X83" s="13" t="str">
        <f>HYPERLINK("https://diamdna.azureedge.net/imaged/km25-18/video.mp4 ","Download")</f>
        <v>Download</v>
      </c>
      <c r="Y83" s="13" t="s">
        <v>42</v>
      </c>
      <c r="Z83" s="13" t="str">
        <f>HYPERLINK("https://diamdna.azureedge.net/reports/2546188089.pdf#zoom=150 ","2546188089")</f>
        <v>2546188089</v>
      </c>
      <c r="AA83" s="13" t="s">
        <v>308</v>
      </c>
      <c r="AB83" s="13">
        <v>2.0099999999999998</v>
      </c>
      <c r="AC83" s="14" t="s">
        <v>44</v>
      </c>
      <c r="AD83" s="13" t="s">
        <v>104</v>
      </c>
      <c r="AE83" s="13">
        <v>7700</v>
      </c>
      <c r="AF83" s="14">
        <v>15476.999999999998</v>
      </c>
      <c r="AG83" s="14">
        <v>-68.5</v>
      </c>
      <c r="AH83" s="14">
        <v>2425.5</v>
      </c>
      <c r="AI83" s="14">
        <v>4875.26</v>
      </c>
      <c r="AJ83" s="14" t="s">
        <v>50</v>
      </c>
      <c r="AK83" s="13" t="s">
        <v>46</v>
      </c>
      <c r="AL83" s="13" t="s">
        <v>120</v>
      </c>
      <c r="AM83" s="13" t="s">
        <v>134</v>
      </c>
      <c r="AN83" s="13" t="s">
        <v>416</v>
      </c>
      <c r="AO83" s="13">
        <v>67</v>
      </c>
      <c r="AP83" s="14">
        <v>68.599999999999994</v>
      </c>
      <c r="AQ83" s="14" t="s">
        <v>49</v>
      </c>
      <c r="AR83" s="13">
        <v>0</v>
      </c>
      <c r="AS83" s="14">
        <v>0</v>
      </c>
      <c r="AT83" s="14">
        <v>0</v>
      </c>
      <c r="AU83" s="13" t="s">
        <v>415</v>
      </c>
      <c r="AV83" s="13" t="str">
        <f>HYPERLINK("https://diamdna.azureedge.net/imaged/km25-18/still.jpg ","Image")</f>
        <v>Image</v>
      </c>
      <c r="AW83" s="13" t="str">
        <f>HYPERLINK("https://diamdna.azureedge.net/Vision360.html?d=km25-18&amp;sr=-30&amp;s=30 ","Video")</f>
        <v>Video</v>
      </c>
      <c r="AX83" s="13" t="str">
        <f>HYPERLINK("https://diamdna.azureedge.net/imaged/km25-18/video.mp4 ","Download")</f>
        <v>Download</v>
      </c>
      <c r="AY83" s="13" t="s">
        <v>42</v>
      </c>
      <c r="AZ83" s="13" t="str">
        <f>HYPERLINK("https://diamdna.azureedge.net/reports/2546188089.pdf#zoom=150 ","2546188089")</f>
        <v>2546188089</v>
      </c>
      <c r="BA83" s="13" t="s">
        <v>308</v>
      </c>
      <c r="BB83" s="13">
        <v>2.0099999999999998</v>
      </c>
      <c r="BC83" s="14" t="s">
        <v>44</v>
      </c>
      <c r="BD83" s="13" t="s">
        <v>104</v>
      </c>
      <c r="BE83" s="13">
        <v>7700</v>
      </c>
      <c r="BF83" s="14">
        <v>15476.999999999998</v>
      </c>
      <c r="BG83" s="14">
        <v>-68.5</v>
      </c>
      <c r="BH83" s="14">
        <v>2425.5</v>
      </c>
      <c r="BI83" s="14">
        <v>4875.26</v>
      </c>
      <c r="BJ83" s="14" t="s">
        <v>50</v>
      </c>
      <c r="BK83" s="13" t="s">
        <v>46</v>
      </c>
      <c r="BL83" s="13" t="s">
        <v>120</v>
      </c>
      <c r="BM83" s="13" t="s">
        <v>134</v>
      </c>
      <c r="BN83" s="13" t="s">
        <v>416</v>
      </c>
      <c r="BO83" s="13">
        <v>67</v>
      </c>
      <c r="BP83" s="14">
        <v>68.599999999999994</v>
      </c>
      <c r="BQ83" s="14" t="s">
        <v>49</v>
      </c>
      <c r="BR83" s="13">
        <v>0</v>
      </c>
      <c r="BS83" s="14">
        <v>0</v>
      </c>
      <c r="BT83" s="14">
        <v>0</v>
      </c>
      <c r="BU83" s="14">
        <v>0</v>
      </c>
      <c r="BV83" s="14" t="s">
        <v>136</v>
      </c>
      <c r="BW83" s="13" t="s">
        <v>50</v>
      </c>
      <c r="BX83" s="13" t="s">
        <v>364</v>
      </c>
      <c r="BY83" s="13">
        <v>4.3499999999999996</v>
      </c>
      <c r="BZ83" s="14">
        <v>1.03</v>
      </c>
      <c r="CA83" s="14" t="s">
        <v>99</v>
      </c>
      <c r="CB83" s="13" t="s">
        <v>54</v>
      </c>
      <c r="CC83" s="13" t="s">
        <v>129</v>
      </c>
      <c r="CD83" s="13" t="s">
        <v>54</v>
      </c>
      <c r="CE83" s="13" t="s">
        <v>110</v>
      </c>
      <c r="CF83" s="13" t="s">
        <v>56</v>
      </c>
      <c r="CG83" s="13" t="s">
        <v>130</v>
      </c>
      <c r="CH83" s="13" t="s">
        <v>410</v>
      </c>
    </row>
    <row r="84" spans="21:86" x14ac:dyDescent="0.3">
      <c r="U84" s="13" t="s">
        <v>417</v>
      </c>
      <c r="V84" s="13" t="str">
        <f>HYPERLINK("https://diamdna.azureedge.net/imaged/bbp-63/still.jpg ","Image")</f>
        <v>Image</v>
      </c>
      <c r="W84" s="13" t="str">
        <f>HYPERLINK("https://diamdna.azureedge.net/Vision360.html?d=bbp-63&amp;sr=-30&amp;s=30 ","Video")</f>
        <v>Video</v>
      </c>
      <c r="X84" s="13" t="str">
        <f>HYPERLINK("https://diamdna.azureedge.net/imaged/bbp-63/video.mp4 ","Download")</f>
        <v>Download</v>
      </c>
      <c r="Y84" s="13" t="s">
        <v>42</v>
      </c>
      <c r="Z84" s="13" t="str">
        <f>HYPERLINK("https://diamdna.azureedge.net/reports/7536139528.pdf#zoom=150 ","7536139528")</f>
        <v>7536139528</v>
      </c>
      <c r="AA84" s="13" t="s">
        <v>308</v>
      </c>
      <c r="AB84" s="13">
        <v>2.0099999999999998</v>
      </c>
      <c r="AC84" s="14" t="s">
        <v>77</v>
      </c>
      <c r="AD84" s="13" t="s">
        <v>78</v>
      </c>
      <c r="AE84" s="13">
        <v>5800</v>
      </c>
      <c r="AF84" s="14">
        <v>11657.999999999998</v>
      </c>
      <c r="AG84" s="14">
        <v>-59.5</v>
      </c>
      <c r="AH84" s="14">
        <v>2349</v>
      </c>
      <c r="AI84" s="14">
        <v>4721.49</v>
      </c>
      <c r="AJ84" s="14" t="s">
        <v>50</v>
      </c>
      <c r="AK84" s="13" t="s">
        <v>46</v>
      </c>
      <c r="AL84" s="13" t="s">
        <v>120</v>
      </c>
      <c r="AM84" s="13" t="s">
        <v>49</v>
      </c>
      <c r="AN84" s="13" t="s">
        <v>418</v>
      </c>
      <c r="AO84" s="13">
        <v>67</v>
      </c>
      <c r="AP84" s="14">
        <v>66.599999999999994</v>
      </c>
      <c r="AQ84" s="14" t="s">
        <v>49</v>
      </c>
      <c r="AR84" s="13">
        <v>0</v>
      </c>
      <c r="AS84" s="14">
        <v>0</v>
      </c>
      <c r="AT84" s="14">
        <v>0</v>
      </c>
      <c r="AU84" s="13" t="s">
        <v>417</v>
      </c>
      <c r="AV84" s="13" t="str">
        <f>HYPERLINK("https://diamdna.azureedge.net/imaged/bbp-63/still.jpg ","Image")</f>
        <v>Image</v>
      </c>
      <c r="AW84" s="13" t="str">
        <f>HYPERLINK("https://diamdna.azureedge.net/Vision360.html?d=bbp-63&amp;sr=-30&amp;s=30 ","Video")</f>
        <v>Video</v>
      </c>
      <c r="AX84" s="13" t="str">
        <f>HYPERLINK("https://diamdna.azureedge.net/imaged/bbp-63/video.mp4 ","Download")</f>
        <v>Download</v>
      </c>
      <c r="AY84" s="13" t="s">
        <v>42</v>
      </c>
      <c r="AZ84" s="13" t="str">
        <f>HYPERLINK("https://diamdna.azureedge.net/reports/7536139528.pdf#zoom=150 ","7536139528")</f>
        <v>7536139528</v>
      </c>
      <c r="BA84" s="13" t="s">
        <v>308</v>
      </c>
      <c r="BB84" s="13">
        <v>2.0099999999999998</v>
      </c>
      <c r="BC84" s="14" t="s">
        <v>77</v>
      </c>
      <c r="BD84" s="13" t="s">
        <v>78</v>
      </c>
      <c r="BE84" s="13">
        <v>5800</v>
      </c>
      <c r="BF84" s="14">
        <v>11657.999999999998</v>
      </c>
      <c r="BG84" s="14">
        <v>-59.5</v>
      </c>
      <c r="BH84" s="14">
        <v>2349</v>
      </c>
      <c r="BI84" s="14">
        <v>4721.49</v>
      </c>
      <c r="BJ84" s="14" t="s">
        <v>50</v>
      </c>
      <c r="BK84" s="13" t="s">
        <v>46</v>
      </c>
      <c r="BL84" s="13" t="s">
        <v>120</v>
      </c>
      <c r="BM84" s="13" t="s">
        <v>49</v>
      </c>
      <c r="BN84" s="13" t="s">
        <v>418</v>
      </c>
      <c r="BO84" s="13">
        <v>67</v>
      </c>
      <c r="BP84" s="14">
        <v>66.599999999999994</v>
      </c>
      <c r="BQ84" s="14" t="s">
        <v>49</v>
      </c>
      <c r="BR84" s="13">
        <v>0</v>
      </c>
      <c r="BS84" s="14">
        <v>0</v>
      </c>
      <c r="BT84" s="14">
        <v>0</v>
      </c>
      <c r="BU84" s="14">
        <v>0</v>
      </c>
      <c r="BV84" s="14" t="s">
        <v>338</v>
      </c>
      <c r="BW84" s="13" t="s">
        <v>50</v>
      </c>
      <c r="BX84" s="13" t="s">
        <v>72</v>
      </c>
      <c r="BY84" s="13">
        <v>3.6</v>
      </c>
      <c r="BZ84" s="14">
        <v>1.01</v>
      </c>
      <c r="CA84" s="14" t="s">
        <v>99</v>
      </c>
      <c r="CB84" s="13" t="s">
        <v>54</v>
      </c>
      <c r="CC84" s="13" t="s">
        <v>203</v>
      </c>
      <c r="CD84" s="13" t="s">
        <v>54</v>
      </c>
      <c r="CE84" s="13" t="s">
        <v>83</v>
      </c>
      <c r="CF84" s="13" t="s">
        <v>56</v>
      </c>
      <c r="CG84" s="13" t="s">
        <v>65</v>
      </c>
      <c r="CH84" s="13" t="s">
        <v>419</v>
      </c>
    </row>
    <row r="85" spans="21:86" x14ac:dyDescent="0.3">
      <c r="U85" s="13" t="s">
        <v>420</v>
      </c>
      <c r="V85" s="13" t="str">
        <f>HYPERLINK("https://diamdna.azureedge.net/imaged/zi-1426/still.jpg ","Image")</f>
        <v>Image</v>
      </c>
      <c r="W85" s="13" t="str">
        <f>HYPERLINK("https://diamdna.azureedge.net/Vision360.html?d=zi-1426&amp;sr=-30&amp;s=30 ","Video")</f>
        <v>Video</v>
      </c>
      <c r="X85" s="13" t="str">
        <f>HYPERLINK("https://diamdna.azureedge.net/imaged/zi-1426/video.mp4 ","Download")</f>
        <v>Download</v>
      </c>
      <c r="Y85" s="13" t="s">
        <v>42</v>
      </c>
      <c r="Z85" s="13" t="str">
        <f>HYPERLINK("https://diamdna.azureedge.net/reports/7538287093.pdf#zoom=150 ","7538287093")</f>
        <v>7538287093</v>
      </c>
      <c r="AA85" s="13" t="s">
        <v>146</v>
      </c>
      <c r="AB85" s="13">
        <v>2.0099999999999998</v>
      </c>
      <c r="AC85" s="14" t="s">
        <v>194</v>
      </c>
      <c r="AD85" s="13" t="s">
        <v>60</v>
      </c>
      <c r="AE85" s="13">
        <v>9100</v>
      </c>
      <c r="AF85" s="14">
        <v>18290.999999999996</v>
      </c>
      <c r="AG85" s="14">
        <v>-39.5</v>
      </c>
      <c r="AH85" s="14">
        <v>5505.5</v>
      </c>
      <c r="AI85" s="14">
        <v>11066.06</v>
      </c>
      <c r="AJ85" s="14" t="s">
        <v>50</v>
      </c>
      <c r="AK85" s="13" t="s">
        <v>46</v>
      </c>
      <c r="AL85" s="13" t="s">
        <v>46</v>
      </c>
      <c r="AM85" s="13" t="s">
        <v>49</v>
      </c>
      <c r="AN85" s="13" t="s">
        <v>421</v>
      </c>
      <c r="AO85" s="13">
        <v>60</v>
      </c>
      <c r="AP85" s="14">
        <v>64.599999999999994</v>
      </c>
      <c r="AQ85" s="14" t="s">
        <v>49</v>
      </c>
      <c r="AR85" s="13">
        <v>0</v>
      </c>
      <c r="AS85" s="14">
        <v>0</v>
      </c>
      <c r="AT85" s="14">
        <v>0</v>
      </c>
      <c r="AU85" s="13" t="s">
        <v>420</v>
      </c>
      <c r="AV85" s="13" t="str">
        <f>HYPERLINK("https://diamdna.azureedge.net/imaged/zi-1426/still.jpg ","Image")</f>
        <v>Image</v>
      </c>
      <c r="AW85" s="13" t="str">
        <f>HYPERLINK("https://diamdna.azureedge.net/Vision360.html?d=zi-1426&amp;sr=-30&amp;s=30 ","Video")</f>
        <v>Video</v>
      </c>
      <c r="AX85" s="13" t="str">
        <f>HYPERLINK("https://diamdna.azureedge.net/imaged/zi-1426/video.mp4 ","Download")</f>
        <v>Download</v>
      </c>
      <c r="AY85" s="13" t="s">
        <v>42</v>
      </c>
      <c r="AZ85" s="13" t="str">
        <f>HYPERLINK("https://diamdna.azureedge.net/reports/7538287093.pdf#zoom=150 ","7538287093")</f>
        <v>7538287093</v>
      </c>
      <c r="BA85" s="13" t="s">
        <v>146</v>
      </c>
      <c r="BB85" s="13">
        <v>2.0099999999999998</v>
      </c>
      <c r="BC85" s="14" t="s">
        <v>194</v>
      </c>
      <c r="BD85" s="13" t="s">
        <v>60</v>
      </c>
      <c r="BE85" s="13">
        <v>9100</v>
      </c>
      <c r="BF85" s="14">
        <v>18290.999999999996</v>
      </c>
      <c r="BG85" s="14">
        <v>-39.5</v>
      </c>
      <c r="BH85" s="14">
        <v>5505.5</v>
      </c>
      <c r="BI85" s="14">
        <v>11066.06</v>
      </c>
      <c r="BJ85" s="14" t="s">
        <v>50</v>
      </c>
      <c r="BK85" s="13" t="s">
        <v>46</v>
      </c>
      <c r="BL85" s="13" t="s">
        <v>46</v>
      </c>
      <c r="BM85" s="13" t="s">
        <v>49</v>
      </c>
      <c r="BN85" s="13" t="s">
        <v>421</v>
      </c>
      <c r="BO85" s="13">
        <v>60</v>
      </c>
      <c r="BP85" s="14">
        <v>64.599999999999994</v>
      </c>
      <c r="BQ85" s="14" t="s">
        <v>49</v>
      </c>
      <c r="BR85" s="13">
        <v>0</v>
      </c>
      <c r="BS85" s="14">
        <v>0</v>
      </c>
      <c r="BT85" s="14">
        <v>0</v>
      </c>
      <c r="BU85" s="14">
        <v>0</v>
      </c>
      <c r="BV85" s="14" t="s">
        <v>422</v>
      </c>
      <c r="BW85" s="13" t="s">
        <v>50</v>
      </c>
      <c r="BX85" s="13" t="s">
        <v>107</v>
      </c>
      <c r="BY85" s="13">
        <v>0</v>
      </c>
      <c r="BZ85" s="14">
        <v>1.61</v>
      </c>
      <c r="CA85" s="14" t="s">
        <v>108</v>
      </c>
      <c r="CB85" s="13" t="s">
        <v>54</v>
      </c>
      <c r="CC85" s="13"/>
      <c r="CD85" s="13" t="s">
        <v>54</v>
      </c>
      <c r="CE85" s="13" t="s">
        <v>83</v>
      </c>
      <c r="CF85" s="13" t="s">
        <v>56</v>
      </c>
      <c r="CG85" s="13" t="s">
        <v>65</v>
      </c>
      <c r="CH85" s="13" t="s">
        <v>423</v>
      </c>
    </row>
    <row r="86" spans="21:86" x14ac:dyDescent="0.3">
      <c r="U86" s="13" t="s">
        <v>424</v>
      </c>
      <c r="V86" s="13" t="str">
        <f>HYPERLINK("https://diamdna.azureedge.net/imaged/mh25-4/still.jpg ","Image")</f>
        <v>Image</v>
      </c>
      <c r="W86" s="13" t="str">
        <f>HYPERLINK("https://diamdna.azureedge.net/Vision360.html?d=mh25-4&amp;sr=-30&amp;s=30 ","Video")</f>
        <v>Video</v>
      </c>
      <c r="X86" s="13" t="str">
        <f>HYPERLINK("https://diamdna.azureedge.net/imaged/mh25-4/video.mp4 ","Download")</f>
        <v>Download</v>
      </c>
      <c r="Y86" s="13" t="s">
        <v>76</v>
      </c>
      <c r="Z86" s="13" t="str">
        <f>HYPERLINK("https://diamdna.azureedge.net/reports/772672032.pdf#zoom=150 ","772672032")</f>
        <v>772672032</v>
      </c>
      <c r="AA86" s="13" t="s">
        <v>146</v>
      </c>
      <c r="AB86" s="13">
        <v>2.0099999999999998</v>
      </c>
      <c r="AC86" s="14" t="s">
        <v>69</v>
      </c>
      <c r="AD86" s="13" t="s">
        <v>78</v>
      </c>
      <c r="AE86" s="13">
        <v>9000</v>
      </c>
      <c r="AF86" s="14">
        <v>18089.999999999996</v>
      </c>
      <c r="AG86" s="14">
        <v>-60</v>
      </c>
      <c r="AH86" s="14">
        <v>3600</v>
      </c>
      <c r="AI86" s="14">
        <v>7236</v>
      </c>
      <c r="AJ86" s="14" t="s">
        <v>50</v>
      </c>
      <c r="AK86" s="13" t="s">
        <v>46</v>
      </c>
      <c r="AL86" s="13" t="s">
        <v>46</v>
      </c>
      <c r="AM86" s="13" t="s">
        <v>152</v>
      </c>
      <c r="AN86" s="13" t="s">
        <v>425</v>
      </c>
      <c r="AO86" s="13">
        <v>60</v>
      </c>
      <c r="AP86" s="14">
        <v>61</v>
      </c>
      <c r="AQ86" s="14" t="s">
        <v>80</v>
      </c>
      <c r="AR86" s="13">
        <v>37.700000000000003</v>
      </c>
      <c r="AS86" s="14">
        <v>15.5</v>
      </c>
      <c r="AT86" s="14">
        <v>40</v>
      </c>
      <c r="AU86" s="13" t="s">
        <v>424</v>
      </c>
      <c r="AV86" s="13" t="str">
        <f>HYPERLINK("https://diamdna.azureedge.net/imaged/mh25-4/still.jpg ","Image")</f>
        <v>Image</v>
      </c>
      <c r="AW86" s="13" t="str">
        <f>HYPERLINK("https://diamdna.azureedge.net/Vision360.html?d=mh25-4&amp;sr=-30&amp;s=30 ","Video")</f>
        <v>Video</v>
      </c>
      <c r="AX86" s="13" t="str">
        <f>HYPERLINK("https://diamdna.azureedge.net/imaged/mh25-4/video.mp4 ","Download")</f>
        <v>Download</v>
      </c>
      <c r="AY86" s="13" t="s">
        <v>76</v>
      </c>
      <c r="AZ86" s="13" t="str">
        <f>HYPERLINK("https://diamdna.azureedge.net/reports/772672032.pdf#zoom=150 ","772672032")</f>
        <v>772672032</v>
      </c>
      <c r="BA86" s="13" t="s">
        <v>146</v>
      </c>
      <c r="BB86" s="13">
        <v>2.0099999999999998</v>
      </c>
      <c r="BC86" s="14" t="s">
        <v>69</v>
      </c>
      <c r="BD86" s="13" t="s">
        <v>78</v>
      </c>
      <c r="BE86" s="13">
        <v>9000</v>
      </c>
      <c r="BF86" s="14">
        <v>18089.999999999996</v>
      </c>
      <c r="BG86" s="14">
        <v>-60</v>
      </c>
      <c r="BH86" s="14">
        <v>3600</v>
      </c>
      <c r="BI86" s="14">
        <v>7236</v>
      </c>
      <c r="BJ86" s="14" t="s">
        <v>50</v>
      </c>
      <c r="BK86" s="13" t="s">
        <v>46</v>
      </c>
      <c r="BL86" s="13" t="s">
        <v>46</v>
      </c>
      <c r="BM86" s="13" t="s">
        <v>152</v>
      </c>
      <c r="BN86" s="13" t="s">
        <v>425</v>
      </c>
      <c r="BO86" s="13">
        <v>60</v>
      </c>
      <c r="BP86" s="14">
        <v>61</v>
      </c>
      <c r="BQ86" s="14" t="s">
        <v>80</v>
      </c>
      <c r="BR86" s="13">
        <v>37.700000000000003</v>
      </c>
      <c r="BS86" s="14">
        <v>15.5</v>
      </c>
      <c r="BT86" s="14">
        <v>40</v>
      </c>
      <c r="BU86" s="14">
        <v>42.5</v>
      </c>
      <c r="BV86" s="14"/>
      <c r="BW86" s="13" t="s">
        <v>50</v>
      </c>
      <c r="BX86" s="13" t="s">
        <v>142</v>
      </c>
      <c r="BY86" s="13">
        <v>3.3</v>
      </c>
      <c r="BZ86" s="14">
        <v>1.58</v>
      </c>
      <c r="CA86" s="14" t="s">
        <v>99</v>
      </c>
      <c r="CB86" s="13" t="s">
        <v>54</v>
      </c>
      <c r="CC86" s="13" t="s">
        <v>82</v>
      </c>
      <c r="CD86" s="13" t="s">
        <v>426</v>
      </c>
      <c r="CE86" s="13" t="s">
        <v>143</v>
      </c>
      <c r="CF86" s="13" t="s">
        <v>56</v>
      </c>
      <c r="CG86" s="13" t="s">
        <v>130</v>
      </c>
      <c r="CH86" s="13" t="s">
        <v>111</v>
      </c>
    </row>
    <row r="87" spans="21:86" x14ac:dyDescent="0.3">
      <c r="U87" s="13" t="s">
        <v>427</v>
      </c>
      <c r="V87" s="13" t="str">
        <f>HYPERLINK("https://diamdna.azureedge.net/imaged/mk26-71/still.jpg ","Image")</f>
        <v>Image</v>
      </c>
      <c r="W87" s="13" t="str">
        <f>HYPERLINK("https://diamdna.azureedge.net/Vision360.html?d=mk26-71&amp;sr=-30&amp;s=30 ","Video")</f>
        <v>Video</v>
      </c>
      <c r="X87" s="13" t="str">
        <f>HYPERLINK("https://diamdna.azureedge.net/imaged/mk26-71/video.mp4 ","Download")</f>
        <v>Download</v>
      </c>
      <c r="Y87" s="13" t="s">
        <v>42</v>
      </c>
      <c r="Z87" s="13" t="str">
        <f>HYPERLINK("https://diamdna.azureedge.net/reports/3545665507.pdf#zoom=150 ","3545665507")</f>
        <v>3545665507</v>
      </c>
      <c r="AA87" s="13" t="s">
        <v>146</v>
      </c>
      <c r="AB87" s="13">
        <v>2.0099999999999998</v>
      </c>
      <c r="AC87" s="14" t="s">
        <v>69</v>
      </c>
      <c r="AD87" s="13" t="s">
        <v>60</v>
      </c>
      <c r="AE87" s="13">
        <v>7500</v>
      </c>
      <c r="AF87" s="14">
        <v>15074.999999999998</v>
      </c>
      <c r="AG87" s="14">
        <v>-42.5</v>
      </c>
      <c r="AH87" s="14">
        <v>4312.5</v>
      </c>
      <c r="AI87" s="14">
        <v>8668.1299999999992</v>
      </c>
      <c r="AJ87" s="14" t="s">
        <v>50</v>
      </c>
      <c r="AK87" s="13" t="s">
        <v>46</v>
      </c>
      <c r="AL87" s="13" t="s">
        <v>46</v>
      </c>
      <c r="AM87" s="13" t="s">
        <v>49</v>
      </c>
      <c r="AN87" s="13" t="s">
        <v>428</v>
      </c>
      <c r="AO87" s="13">
        <v>59</v>
      </c>
      <c r="AP87" s="14">
        <v>63.6</v>
      </c>
      <c r="AQ87" s="14" t="s">
        <v>49</v>
      </c>
      <c r="AR87" s="13">
        <v>0</v>
      </c>
      <c r="AS87" s="14">
        <v>0</v>
      </c>
      <c r="AT87" s="14">
        <v>0</v>
      </c>
      <c r="AU87" s="13" t="s">
        <v>427</v>
      </c>
      <c r="AV87" s="13" t="str">
        <f>HYPERLINK("https://diamdna.azureedge.net/imaged/mk26-71/still.jpg ","Image")</f>
        <v>Image</v>
      </c>
      <c r="AW87" s="13" t="str">
        <f>HYPERLINK("https://diamdna.azureedge.net/Vision360.html?d=mk26-71&amp;sr=-30&amp;s=30 ","Video")</f>
        <v>Video</v>
      </c>
      <c r="AX87" s="13" t="str">
        <f>HYPERLINK("https://diamdna.azureedge.net/imaged/mk26-71/video.mp4 ","Download")</f>
        <v>Download</v>
      </c>
      <c r="AY87" s="13" t="s">
        <v>42</v>
      </c>
      <c r="AZ87" s="13" t="str">
        <f>HYPERLINK("https://diamdna.azureedge.net/reports/3545665507.pdf#zoom=150 ","3545665507")</f>
        <v>3545665507</v>
      </c>
      <c r="BA87" s="13" t="s">
        <v>146</v>
      </c>
      <c r="BB87" s="13">
        <v>2.0099999999999998</v>
      </c>
      <c r="BC87" s="14" t="s">
        <v>69</v>
      </c>
      <c r="BD87" s="13" t="s">
        <v>60</v>
      </c>
      <c r="BE87" s="13">
        <v>7500</v>
      </c>
      <c r="BF87" s="14">
        <v>15074.999999999998</v>
      </c>
      <c r="BG87" s="14">
        <v>-42.5</v>
      </c>
      <c r="BH87" s="14">
        <v>4312.5</v>
      </c>
      <c r="BI87" s="14">
        <v>8668.1299999999992</v>
      </c>
      <c r="BJ87" s="14" t="s">
        <v>50</v>
      </c>
      <c r="BK87" s="13" t="s">
        <v>46</v>
      </c>
      <c r="BL87" s="13" t="s">
        <v>46</v>
      </c>
      <c r="BM87" s="13" t="s">
        <v>49</v>
      </c>
      <c r="BN87" s="13" t="s">
        <v>428</v>
      </c>
      <c r="BO87" s="13">
        <v>59</v>
      </c>
      <c r="BP87" s="14">
        <v>63.6</v>
      </c>
      <c r="BQ87" s="14" t="s">
        <v>49</v>
      </c>
      <c r="BR87" s="13">
        <v>0</v>
      </c>
      <c r="BS87" s="14">
        <v>0</v>
      </c>
      <c r="BT87" s="14">
        <v>0</v>
      </c>
      <c r="BU87" s="14">
        <v>0</v>
      </c>
      <c r="BV87" s="14" t="s">
        <v>429</v>
      </c>
      <c r="BW87" s="13" t="s">
        <v>50</v>
      </c>
      <c r="BX87" s="13" t="s">
        <v>177</v>
      </c>
      <c r="BY87" s="13">
        <v>3.6</v>
      </c>
      <c r="BZ87" s="14">
        <v>1.55</v>
      </c>
      <c r="CA87" s="14" t="s">
        <v>108</v>
      </c>
      <c r="CB87" s="13" t="s">
        <v>54</v>
      </c>
      <c r="CC87" s="13" t="s">
        <v>217</v>
      </c>
      <c r="CD87" s="13" t="s">
        <v>54</v>
      </c>
      <c r="CE87" s="13" t="s">
        <v>143</v>
      </c>
      <c r="CF87" s="13" t="s">
        <v>56</v>
      </c>
      <c r="CG87" s="13" t="s">
        <v>65</v>
      </c>
      <c r="CH87" s="13" t="s">
        <v>167</v>
      </c>
    </row>
    <row r="88" spans="21:86" x14ac:dyDescent="0.3">
      <c r="U88" s="13" t="s">
        <v>430</v>
      </c>
      <c r="V88" s="13" t="str">
        <f>HYPERLINK("https://diamdna.azureedge.net/imaged/kk25-5/still.jpg ","Image")</f>
        <v>Image</v>
      </c>
      <c r="W88" s="13" t="str">
        <f>HYPERLINK("https://diamdna.azureedge.net/Vision360.html?d=kk25-5&amp;sr=-30&amp;s=30 ","Video")</f>
        <v>Video</v>
      </c>
      <c r="X88" s="13" t="str">
        <f>HYPERLINK("https://diamdna.azureedge.net/imaged/kk25-5/video.mp4 ","Download")</f>
        <v>Download</v>
      </c>
      <c r="Y88" s="13" t="s">
        <v>42</v>
      </c>
      <c r="Z88" s="13" t="str">
        <f>HYPERLINK("https://diamdna.azureedge.net/reports/7541346645.pdf#zoom=150 ","7541346645")</f>
        <v>7541346645</v>
      </c>
      <c r="AA88" s="13" t="s">
        <v>193</v>
      </c>
      <c r="AB88" s="13">
        <v>2.0099999999999998</v>
      </c>
      <c r="AC88" s="14" t="s">
        <v>77</v>
      </c>
      <c r="AD88" s="13" t="s">
        <v>125</v>
      </c>
      <c r="AE88" s="13">
        <v>6300</v>
      </c>
      <c r="AF88" s="14">
        <v>12662.999999999998</v>
      </c>
      <c r="AG88" s="14">
        <v>-17</v>
      </c>
      <c r="AH88" s="14">
        <v>5229</v>
      </c>
      <c r="AI88" s="14">
        <v>10510.29</v>
      </c>
      <c r="AJ88" s="14" t="s">
        <v>50</v>
      </c>
      <c r="AK88" s="13" t="s">
        <v>46</v>
      </c>
      <c r="AL88" s="13" t="s">
        <v>46</v>
      </c>
      <c r="AM88" s="13" t="s">
        <v>47</v>
      </c>
      <c r="AN88" s="13" t="s">
        <v>431</v>
      </c>
      <c r="AO88" s="13">
        <v>61</v>
      </c>
      <c r="AP88" s="14">
        <v>63.2</v>
      </c>
      <c r="AQ88" s="14" t="s">
        <v>49</v>
      </c>
      <c r="AR88" s="13">
        <v>0</v>
      </c>
      <c r="AS88" s="14">
        <v>0</v>
      </c>
      <c r="AT88" s="14">
        <v>0</v>
      </c>
      <c r="AU88" s="13" t="s">
        <v>430</v>
      </c>
      <c r="AV88" s="13" t="str">
        <f>HYPERLINK("https://diamdna.azureedge.net/imaged/kk25-5/still.jpg ","Image")</f>
        <v>Image</v>
      </c>
      <c r="AW88" s="13" t="str">
        <f>HYPERLINK("https://diamdna.azureedge.net/Vision360.html?d=kk25-5&amp;sr=-30&amp;s=30 ","Video")</f>
        <v>Video</v>
      </c>
      <c r="AX88" s="13" t="str">
        <f>HYPERLINK("https://diamdna.azureedge.net/imaged/kk25-5/video.mp4 ","Download")</f>
        <v>Download</v>
      </c>
      <c r="AY88" s="13" t="s">
        <v>42</v>
      </c>
      <c r="AZ88" s="13" t="str">
        <f>HYPERLINK("https://diamdna.azureedge.net/reports/7541346645.pdf#zoom=150 ","7541346645")</f>
        <v>7541346645</v>
      </c>
      <c r="BA88" s="13" t="s">
        <v>193</v>
      </c>
      <c r="BB88" s="13">
        <v>2.0099999999999998</v>
      </c>
      <c r="BC88" s="14" t="s">
        <v>77</v>
      </c>
      <c r="BD88" s="13" t="s">
        <v>125</v>
      </c>
      <c r="BE88" s="13">
        <v>6300</v>
      </c>
      <c r="BF88" s="14">
        <v>12662.999999999998</v>
      </c>
      <c r="BG88" s="14">
        <v>-17</v>
      </c>
      <c r="BH88" s="14">
        <v>5229</v>
      </c>
      <c r="BI88" s="14">
        <v>10510.29</v>
      </c>
      <c r="BJ88" s="14" t="s">
        <v>50</v>
      </c>
      <c r="BK88" s="13" t="s">
        <v>46</v>
      </c>
      <c r="BL88" s="13" t="s">
        <v>46</v>
      </c>
      <c r="BM88" s="13" t="s">
        <v>47</v>
      </c>
      <c r="BN88" s="13" t="s">
        <v>431</v>
      </c>
      <c r="BO88" s="13">
        <v>61</v>
      </c>
      <c r="BP88" s="14">
        <v>63.2</v>
      </c>
      <c r="BQ88" s="14" t="s">
        <v>49</v>
      </c>
      <c r="BR88" s="13">
        <v>0</v>
      </c>
      <c r="BS88" s="14">
        <v>0</v>
      </c>
      <c r="BT88" s="14">
        <v>0</v>
      </c>
      <c r="BU88" s="14">
        <v>0</v>
      </c>
      <c r="BV88" s="14" t="s">
        <v>298</v>
      </c>
      <c r="BW88" s="13" t="s">
        <v>50</v>
      </c>
      <c r="BX88" s="13" t="s">
        <v>51</v>
      </c>
      <c r="BY88" s="13">
        <v>3.35</v>
      </c>
      <c r="BZ88" s="14">
        <v>1.91</v>
      </c>
      <c r="CA88" s="14" t="s">
        <v>52</v>
      </c>
      <c r="CB88" s="13" t="s">
        <v>54</v>
      </c>
      <c r="CC88" s="13"/>
      <c r="CD88" s="13" t="s">
        <v>54</v>
      </c>
      <c r="CE88" s="13" t="s">
        <v>110</v>
      </c>
      <c r="CF88" s="13" t="s">
        <v>56</v>
      </c>
      <c r="CG88" s="13" t="s">
        <v>130</v>
      </c>
      <c r="CH88" s="13" t="s">
        <v>432</v>
      </c>
    </row>
    <row r="89" spans="21:86" x14ac:dyDescent="0.3">
      <c r="U89" s="13" t="s">
        <v>433</v>
      </c>
      <c r="V89" s="13" t="str">
        <f>HYPERLINK("https://diamdna.azureedge.net/imaged/bdt-46/still.jpg ","Image")</f>
        <v>Image</v>
      </c>
      <c r="W89" s="13" t="str">
        <f>HYPERLINK("https://diamdna.azureedge.net/Vision360.html?d=bdt-46&amp;sr=-30&amp;s=30 ","Video")</f>
        <v>Video</v>
      </c>
      <c r="X89" s="13" t="str">
        <f>HYPERLINK("https://diamdna.azureedge.net/imaged/bdt-46/video.mp4 ","Download")</f>
        <v>Download</v>
      </c>
      <c r="Y89" s="13" t="s">
        <v>163</v>
      </c>
      <c r="Z89" s="13" t="str">
        <f>HYPERLINK("https://diamdna.azureedge.net/reports/260000041709.pdf#zoom=150 ","260000041709")</f>
        <v>260000041709</v>
      </c>
      <c r="AA89" s="13" t="s">
        <v>113</v>
      </c>
      <c r="AB89" s="13">
        <v>2.0099999999999998</v>
      </c>
      <c r="AC89" s="14" t="s">
        <v>91</v>
      </c>
      <c r="AD89" s="13" t="s">
        <v>60</v>
      </c>
      <c r="AE89" s="13">
        <v>10300</v>
      </c>
      <c r="AF89" s="14">
        <v>20702.999999999996</v>
      </c>
      <c r="AG89" s="14">
        <v>-59.5</v>
      </c>
      <c r="AH89" s="14">
        <v>4171.5</v>
      </c>
      <c r="AI89" s="14">
        <v>8384.7199999999993</v>
      </c>
      <c r="AJ89" s="14" t="s">
        <v>50</v>
      </c>
      <c r="AK89" s="13" t="s">
        <v>120</v>
      </c>
      <c r="AL89" s="13" t="s">
        <v>120</v>
      </c>
      <c r="AM89" s="13" t="s">
        <v>49</v>
      </c>
      <c r="AN89" s="13" t="s">
        <v>434</v>
      </c>
      <c r="AO89" s="13">
        <v>62</v>
      </c>
      <c r="AP89" s="14">
        <v>64.400000000000006</v>
      </c>
      <c r="AQ89" s="14" t="s">
        <v>165</v>
      </c>
      <c r="AR89" s="13">
        <v>0</v>
      </c>
      <c r="AS89" s="14">
        <v>17.5</v>
      </c>
      <c r="AT89" s="14">
        <v>0</v>
      </c>
      <c r="AU89" s="13" t="s">
        <v>433</v>
      </c>
      <c r="AV89" s="13" t="str">
        <f>HYPERLINK("https://diamdna.azureedge.net/imaged/bdt-46/still.jpg ","Image")</f>
        <v>Image</v>
      </c>
      <c r="AW89" s="13" t="str">
        <f>HYPERLINK("https://diamdna.azureedge.net/Vision360.html?d=bdt-46&amp;sr=-30&amp;s=30 ","Video")</f>
        <v>Video</v>
      </c>
      <c r="AX89" s="13" t="str">
        <f>HYPERLINK("https://diamdna.azureedge.net/imaged/bdt-46/video.mp4 ","Download")</f>
        <v>Download</v>
      </c>
      <c r="AY89" s="13" t="s">
        <v>163</v>
      </c>
      <c r="AZ89" s="13" t="str">
        <f>HYPERLINK("https://diamdna.azureedge.net/reports/260000041709.pdf#zoom=150 ","260000041709")</f>
        <v>260000041709</v>
      </c>
      <c r="BA89" s="13" t="s">
        <v>113</v>
      </c>
      <c r="BB89" s="13">
        <v>2.0099999999999998</v>
      </c>
      <c r="BC89" s="14" t="s">
        <v>91</v>
      </c>
      <c r="BD89" s="13" t="s">
        <v>60</v>
      </c>
      <c r="BE89" s="13">
        <v>10300</v>
      </c>
      <c r="BF89" s="14">
        <v>20702.999999999996</v>
      </c>
      <c r="BG89" s="14">
        <v>-59.5</v>
      </c>
      <c r="BH89" s="14">
        <v>4171.5</v>
      </c>
      <c r="BI89" s="14">
        <v>8384.7199999999993</v>
      </c>
      <c r="BJ89" s="14" t="s">
        <v>50</v>
      </c>
      <c r="BK89" s="13" t="s">
        <v>120</v>
      </c>
      <c r="BL89" s="13" t="s">
        <v>120</v>
      </c>
      <c r="BM89" s="13" t="s">
        <v>49</v>
      </c>
      <c r="BN89" s="13" t="s">
        <v>434</v>
      </c>
      <c r="BO89" s="13">
        <v>62</v>
      </c>
      <c r="BP89" s="14">
        <v>64.400000000000006</v>
      </c>
      <c r="BQ89" s="14" t="s">
        <v>165</v>
      </c>
      <c r="BR89" s="13">
        <v>0</v>
      </c>
      <c r="BS89" s="14">
        <v>17.5</v>
      </c>
      <c r="BT89" s="14">
        <v>0</v>
      </c>
      <c r="BU89" s="14">
        <v>42</v>
      </c>
      <c r="BV89" s="14"/>
      <c r="BW89" s="13" t="s">
        <v>50</v>
      </c>
      <c r="BX89" s="13" t="s">
        <v>142</v>
      </c>
      <c r="BY89" s="13">
        <v>5</v>
      </c>
      <c r="BZ89" s="14">
        <v>1.55</v>
      </c>
      <c r="CA89" s="14" t="s">
        <v>376</v>
      </c>
      <c r="CB89" s="13" t="s">
        <v>54</v>
      </c>
      <c r="CC89" s="13"/>
      <c r="CD89" s="13" t="s">
        <v>54</v>
      </c>
      <c r="CE89" s="13" t="s">
        <v>110</v>
      </c>
      <c r="CF89" s="13" t="s">
        <v>339</v>
      </c>
      <c r="CG89" s="13" t="s">
        <v>57</v>
      </c>
      <c r="CH89" s="13" t="s">
        <v>435</v>
      </c>
    </row>
    <row r="90" spans="21:86" x14ac:dyDescent="0.3">
      <c r="U90" s="13" t="s">
        <v>436</v>
      </c>
      <c r="V90" s="13" t="str">
        <f>HYPERLINK("https://diamdna.azureedge.net/imaged/zh-6188/still.jpg ","Image")</f>
        <v>Image</v>
      </c>
      <c r="W90" s="13" t="str">
        <f>HYPERLINK("https://diamdna.azureedge.net/Vision360.html?d=zh-6188&amp;sr=-30&amp;s=30 ","Video")</f>
        <v>Video</v>
      </c>
      <c r="X90" s="13" t="str">
        <f>HYPERLINK("https://diamdna.azureedge.net/imaged/zh-6188/video.mp4 ","Download")</f>
        <v>Download</v>
      </c>
      <c r="Y90" s="13" t="s">
        <v>163</v>
      </c>
      <c r="Z90" s="13" t="str">
        <f>HYPERLINK("https://diamdna.azureedge.net/reports/250000137958.pdf#zoom=150 ","250000137958")</f>
        <v>250000137958</v>
      </c>
      <c r="AA90" s="13" t="s">
        <v>113</v>
      </c>
      <c r="AB90" s="13">
        <v>2.0099999999999998</v>
      </c>
      <c r="AC90" s="14" t="s">
        <v>44</v>
      </c>
      <c r="AD90" s="13" t="s">
        <v>78</v>
      </c>
      <c r="AE90" s="13">
        <v>7400</v>
      </c>
      <c r="AF90" s="14">
        <v>14873.999999999998</v>
      </c>
      <c r="AG90" s="14">
        <v>-74</v>
      </c>
      <c r="AH90" s="14">
        <v>1924</v>
      </c>
      <c r="AI90" s="14">
        <v>3867.24</v>
      </c>
      <c r="AJ90" s="14" t="s">
        <v>50</v>
      </c>
      <c r="AK90" s="13" t="s">
        <v>120</v>
      </c>
      <c r="AL90" s="13" t="s">
        <v>120</v>
      </c>
      <c r="AM90" s="13" t="s">
        <v>87</v>
      </c>
      <c r="AN90" s="13" t="s">
        <v>437</v>
      </c>
      <c r="AO90" s="13">
        <v>58</v>
      </c>
      <c r="AP90" s="14">
        <v>69.400000000000006</v>
      </c>
      <c r="AQ90" s="14" t="s">
        <v>49</v>
      </c>
      <c r="AR90" s="13">
        <v>0</v>
      </c>
      <c r="AS90" s="14">
        <v>14.5</v>
      </c>
      <c r="AT90" s="14">
        <v>0</v>
      </c>
      <c r="AU90" s="13" t="s">
        <v>436</v>
      </c>
      <c r="AV90" s="13" t="str">
        <f>HYPERLINK("https://diamdna.azureedge.net/imaged/zh-6188/still.jpg ","Image")</f>
        <v>Image</v>
      </c>
      <c r="AW90" s="13" t="str">
        <f>HYPERLINK("https://diamdna.azureedge.net/Vision360.html?d=zh-6188&amp;sr=-30&amp;s=30 ","Video")</f>
        <v>Video</v>
      </c>
      <c r="AX90" s="13" t="str">
        <f>HYPERLINK("https://diamdna.azureedge.net/imaged/zh-6188/video.mp4 ","Download")</f>
        <v>Download</v>
      </c>
      <c r="AY90" s="13" t="s">
        <v>163</v>
      </c>
      <c r="AZ90" s="13" t="str">
        <f>HYPERLINK("https://diamdna.azureedge.net/reports/250000137958.pdf#zoom=150 ","250000137958")</f>
        <v>250000137958</v>
      </c>
      <c r="BA90" s="13" t="s">
        <v>113</v>
      </c>
      <c r="BB90" s="13">
        <v>2.0099999999999998</v>
      </c>
      <c r="BC90" s="14" t="s">
        <v>44</v>
      </c>
      <c r="BD90" s="13" t="s">
        <v>78</v>
      </c>
      <c r="BE90" s="13">
        <v>7400</v>
      </c>
      <c r="BF90" s="14">
        <v>14873.999999999998</v>
      </c>
      <c r="BG90" s="14">
        <v>-74</v>
      </c>
      <c r="BH90" s="14">
        <v>1924</v>
      </c>
      <c r="BI90" s="14">
        <v>3867.24</v>
      </c>
      <c r="BJ90" s="14" t="s">
        <v>50</v>
      </c>
      <c r="BK90" s="13" t="s">
        <v>120</v>
      </c>
      <c r="BL90" s="13" t="s">
        <v>120</v>
      </c>
      <c r="BM90" s="13" t="s">
        <v>87</v>
      </c>
      <c r="BN90" s="13" t="s">
        <v>437</v>
      </c>
      <c r="BO90" s="13">
        <v>58</v>
      </c>
      <c r="BP90" s="14">
        <v>69.400000000000006</v>
      </c>
      <c r="BQ90" s="14" t="s">
        <v>49</v>
      </c>
      <c r="BR90" s="13">
        <v>0</v>
      </c>
      <c r="BS90" s="14">
        <v>14.5</v>
      </c>
      <c r="BT90" s="14">
        <v>0</v>
      </c>
      <c r="BU90" s="14">
        <v>0</v>
      </c>
      <c r="BV90" s="14"/>
      <c r="BW90" s="13" t="s">
        <v>50</v>
      </c>
      <c r="BX90" s="13" t="s">
        <v>311</v>
      </c>
      <c r="BY90" s="13">
        <v>0</v>
      </c>
      <c r="BZ90" s="14">
        <v>1.4</v>
      </c>
      <c r="CA90" s="14" t="s">
        <v>99</v>
      </c>
      <c r="CB90" s="13" t="s">
        <v>54</v>
      </c>
      <c r="CC90" s="13"/>
      <c r="CD90" s="13" t="s">
        <v>54</v>
      </c>
      <c r="CE90" s="13" t="s">
        <v>93</v>
      </c>
      <c r="CF90" s="13" t="s">
        <v>56</v>
      </c>
      <c r="CG90" s="13" t="s">
        <v>57</v>
      </c>
      <c r="CH90" s="13" t="s">
        <v>438</v>
      </c>
    </row>
    <row r="91" spans="21:86" x14ac:dyDescent="0.3">
      <c r="U91" s="13" t="s">
        <v>439</v>
      </c>
      <c r="V91" s="13" t="str">
        <f>HYPERLINK("https://diamdna.azureedge.net/imaged/bdr-55/still.jpg ","Image")</f>
        <v>Image</v>
      </c>
      <c r="W91" s="13" t="str">
        <f>HYPERLINK("https://diamdna.azureedge.net/Vision360.html?d=bdr-55&amp;sr=-30&amp;s=30 ","Video")</f>
        <v>Video</v>
      </c>
      <c r="X91" s="13" t="str">
        <f>HYPERLINK("https://diamdna.azureedge.net/imaged/bdr-55/video.mp4 ","Download")</f>
        <v>Download</v>
      </c>
      <c r="Y91" s="13" t="s">
        <v>163</v>
      </c>
      <c r="Z91" s="13" t="str">
        <f>HYPERLINK("https://diamdna.azureedge.net/reports/260000029057.pdf#zoom=150 ","260000029057")</f>
        <v>260000029057</v>
      </c>
      <c r="AA91" s="13" t="s">
        <v>43</v>
      </c>
      <c r="AB91" s="13">
        <v>2</v>
      </c>
      <c r="AC91" s="14" t="s">
        <v>91</v>
      </c>
      <c r="AD91" s="13" t="s">
        <v>133</v>
      </c>
      <c r="AE91" s="13">
        <v>14100</v>
      </c>
      <c r="AF91" s="14">
        <v>28200</v>
      </c>
      <c r="AG91" s="14">
        <v>-57</v>
      </c>
      <c r="AH91" s="14">
        <v>6063</v>
      </c>
      <c r="AI91" s="14">
        <v>12126</v>
      </c>
      <c r="AJ91" s="14" t="s">
        <v>46</v>
      </c>
      <c r="AK91" s="13" t="s">
        <v>46</v>
      </c>
      <c r="AL91" s="13" t="s">
        <v>46</v>
      </c>
      <c r="AM91" s="13" t="s">
        <v>49</v>
      </c>
      <c r="AN91" s="13" t="s">
        <v>440</v>
      </c>
      <c r="AO91" s="13">
        <v>55</v>
      </c>
      <c r="AP91" s="14">
        <v>63.3</v>
      </c>
      <c r="AQ91" s="14" t="s">
        <v>165</v>
      </c>
      <c r="AR91" s="13">
        <v>36.700000000000003</v>
      </c>
      <c r="AS91" s="14">
        <v>17</v>
      </c>
      <c r="AT91" s="14">
        <v>40.700000000000003</v>
      </c>
      <c r="AU91" s="13" t="s">
        <v>439</v>
      </c>
      <c r="AV91" s="13" t="str">
        <f>HYPERLINK("https://diamdna.azureedge.net/imaged/bdr-55/still.jpg ","Image")</f>
        <v>Image</v>
      </c>
      <c r="AW91" s="13" t="str">
        <f>HYPERLINK("https://diamdna.azureedge.net/Vision360.html?d=bdr-55&amp;sr=-30&amp;s=30 ","Video")</f>
        <v>Video</v>
      </c>
      <c r="AX91" s="13" t="str">
        <f>HYPERLINK("https://diamdna.azureedge.net/imaged/bdr-55/video.mp4 ","Download")</f>
        <v>Download</v>
      </c>
      <c r="AY91" s="13" t="s">
        <v>163</v>
      </c>
      <c r="AZ91" s="13" t="str">
        <f>HYPERLINK("https://diamdna.azureedge.net/reports/260000029057.pdf#zoom=150 ","260000029057")</f>
        <v>260000029057</v>
      </c>
      <c r="BA91" s="13" t="s">
        <v>43</v>
      </c>
      <c r="BB91" s="13">
        <v>2</v>
      </c>
      <c r="BC91" s="14" t="s">
        <v>91</v>
      </c>
      <c r="BD91" s="13" t="s">
        <v>133</v>
      </c>
      <c r="BE91" s="13">
        <v>14100</v>
      </c>
      <c r="BF91" s="14">
        <v>28200</v>
      </c>
      <c r="BG91" s="14">
        <v>-57</v>
      </c>
      <c r="BH91" s="14">
        <v>6063</v>
      </c>
      <c r="BI91" s="14">
        <v>12126</v>
      </c>
      <c r="BJ91" s="14" t="s">
        <v>46</v>
      </c>
      <c r="BK91" s="13" t="s">
        <v>46</v>
      </c>
      <c r="BL91" s="13" t="s">
        <v>46</v>
      </c>
      <c r="BM91" s="13" t="s">
        <v>49</v>
      </c>
      <c r="BN91" s="13" t="s">
        <v>440</v>
      </c>
      <c r="BO91" s="13">
        <v>55</v>
      </c>
      <c r="BP91" s="14">
        <v>63.3</v>
      </c>
      <c r="BQ91" s="14" t="s">
        <v>165</v>
      </c>
      <c r="BR91" s="13">
        <v>36.700000000000003</v>
      </c>
      <c r="BS91" s="14">
        <v>17</v>
      </c>
      <c r="BT91" s="14">
        <v>40.700000000000003</v>
      </c>
      <c r="BU91" s="14">
        <v>43</v>
      </c>
      <c r="BV91" s="14"/>
      <c r="BW91" s="13" t="s">
        <v>50</v>
      </c>
      <c r="BX91" s="13" t="s">
        <v>142</v>
      </c>
      <c r="BY91" s="13">
        <v>3.5</v>
      </c>
      <c r="BZ91" s="14">
        <v>1.01</v>
      </c>
      <c r="CA91" s="14" t="s">
        <v>376</v>
      </c>
      <c r="CB91" s="13" t="s">
        <v>128</v>
      </c>
      <c r="CC91" s="13"/>
      <c r="CD91" s="13" t="s">
        <v>54</v>
      </c>
      <c r="CE91" s="13" t="s">
        <v>110</v>
      </c>
      <c r="CF91" s="13" t="s">
        <v>339</v>
      </c>
      <c r="CG91" s="13" t="s">
        <v>166</v>
      </c>
      <c r="CH91" s="13" t="s">
        <v>89</v>
      </c>
    </row>
    <row r="92" spans="21:86" x14ac:dyDescent="0.3">
      <c r="U92" s="13" t="s">
        <v>441</v>
      </c>
      <c r="V92" s="13" t="str">
        <f>HYPERLINK("https://diamdna.azureedge.net/imaged/la25-46/still.jpg ","Image")</f>
        <v>Image</v>
      </c>
      <c r="W92" s="13" t="str">
        <f>HYPERLINK("https://diamdna.azureedge.net/Vision360.html?d=la25-46&amp;sr=-30&amp;s=30 ","Video")</f>
        <v>Video</v>
      </c>
      <c r="X92" s="13" t="str">
        <f>HYPERLINK("https://diamdna.azureedge.net/imaged/la25-46/video.mp4 ","Download")</f>
        <v>Download</v>
      </c>
      <c r="Y92" s="13" t="s">
        <v>76</v>
      </c>
      <c r="Z92" s="13" t="str">
        <f>HYPERLINK("https://diamdna.azureedge.net/reports/764661477.pdf#zoom=150 ","764661477")</f>
        <v>764661477</v>
      </c>
      <c r="AA92" s="13" t="s">
        <v>43</v>
      </c>
      <c r="AB92" s="13">
        <v>2</v>
      </c>
      <c r="AC92" s="14" t="s">
        <v>96</v>
      </c>
      <c r="AD92" s="13" t="s">
        <v>261</v>
      </c>
      <c r="AE92" s="13">
        <v>7600</v>
      </c>
      <c r="AF92" s="14">
        <v>15200</v>
      </c>
      <c r="AG92" s="14">
        <v>-65.5</v>
      </c>
      <c r="AH92" s="14">
        <v>2622</v>
      </c>
      <c r="AI92" s="14">
        <v>5244</v>
      </c>
      <c r="AJ92" s="14" t="s">
        <v>120</v>
      </c>
      <c r="AK92" s="13" t="s">
        <v>46</v>
      </c>
      <c r="AL92" s="13" t="s">
        <v>46</v>
      </c>
      <c r="AM92" s="13" t="s">
        <v>49</v>
      </c>
      <c r="AN92" s="13" t="s">
        <v>442</v>
      </c>
      <c r="AO92" s="13">
        <v>61</v>
      </c>
      <c r="AP92" s="14">
        <v>63.2</v>
      </c>
      <c r="AQ92" s="14" t="s">
        <v>80</v>
      </c>
      <c r="AR92" s="13">
        <v>36</v>
      </c>
      <c r="AS92" s="14">
        <v>14</v>
      </c>
      <c r="AT92" s="14">
        <v>41.2</v>
      </c>
      <c r="AU92" s="13" t="s">
        <v>441</v>
      </c>
      <c r="AV92" s="13" t="str">
        <f>HYPERLINK("https://diamdna.azureedge.net/imaged/la25-46/still.jpg ","Image")</f>
        <v>Image</v>
      </c>
      <c r="AW92" s="13" t="str">
        <f>HYPERLINK("https://diamdna.azureedge.net/Vision360.html?d=la25-46&amp;sr=-30&amp;s=30 ","Video")</f>
        <v>Video</v>
      </c>
      <c r="AX92" s="13" t="str">
        <f>HYPERLINK("https://diamdna.azureedge.net/imaged/la25-46/video.mp4 ","Download")</f>
        <v>Download</v>
      </c>
      <c r="AY92" s="13" t="s">
        <v>76</v>
      </c>
      <c r="AZ92" s="13" t="str">
        <f>HYPERLINK("https://diamdna.azureedge.net/reports/764661477.pdf#zoom=150 ","764661477")</f>
        <v>764661477</v>
      </c>
      <c r="BA92" s="13" t="s">
        <v>43</v>
      </c>
      <c r="BB92" s="13">
        <v>2</v>
      </c>
      <c r="BC92" s="14" t="s">
        <v>96</v>
      </c>
      <c r="BD92" s="13" t="s">
        <v>261</v>
      </c>
      <c r="BE92" s="13">
        <v>7600</v>
      </c>
      <c r="BF92" s="14">
        <v>15200</v>
      </c>
      <c r="BG92" s="14">
        <v>-65.5</v>
      </c>
      <c r="BH92" s="14">
        <v>2622</v>
      </c>
      <c r="BI92" s="14">
        <v>5244</v>
      </c>
      <c r="BJ92" s="14" t="s">
        <v>120</v>
      </c>
      <c r="BK92" s="13" t="s">
        <v>46</v>
      </c>
      <c r="BL92" s="13" t="s">
        <v>46</v>
      </c>
      <c r="BM92" s="13" t="s">
        <v>49</v>
      </c>
      <c r="BN92" s="13" t="s">
        <v>442</v>
      </c>
      <c r="BO92" s="13">
        <v>61</v>
      </c>
      <c r="BP92" s="14">
        <v>63.2</v>
      </c>
      <c r="BQ92" s="14" t="s">
        <v>80</v>
      </c>
      <c r="BR92" s="13">
        <v>36</v>
      </c>
      <c r="BS92" s="14">
        <v>14</v>
      </c>
      <c r="BT92" s="14">
        <v>41.2</v>
      </c>
      <c r="BU92" s="14">
        <v>43.5</v>
      </c>
      <c r="BV92" s="14"/>
      <c r="BW92" s="13" t="s">
        <v>50</v>
      </c>
      <c r="BX92" s="13" t="s">
        <v>72</v>
      </c>
      <c r="BY92" s="13">
        <v>5.4</v>
      </c>
      <c r="BZ92" s="14">
        <v>1.01</v>
      </c>
      <c r="CA92" s="14" t="s">
        <v>376</v>
      </c>
      <c r="CB92" s="13" t="s">
        <v>54</v>
      </c>
      <c r="CC92" s="13" t="s">
        <v>82</v>
      </c>
      <c r="CD92" s="13" t="s">
        <v>54</v>
      </c>
      <c r="CE92" s="13" t="s">
        <v>110</v>
      </c>
      <c r="CF92" s="13" t="s">
        <v>56</v>
      </c>
      <c r="CG92" s="13" t="s">
        <v>57</v>
      </c>
      <c r="CH92" s="13" t="s">
        <v>144</v>
      </c>
    </row>
    <row r="93" spans="21:86" x14ac:dyDescent="0.3">
      <c r="U93" s="13" t="s">
        <v>443</v>
      </c>
      <c r="V93" s="13" t="str">
        <f>HYPERLINK("https://diamdna.azureedge.net/imaged/nb26-43/still.jpg ","Image")</f>
        <v>Image</v>
      </c>
      <c r="W93" s="13" t="str">
        <f>HYPERLINK("https://diamdna.azureedge.net/Vision360.html?d=nb26-43&amp;sr=-30&amp;s=30 ","Video")</f>
        <v>Video</v>
      </c>
      <c r="X93" s="13" t="str">
        <f>HYPERLINK("https://diamdna.azureedge.net/imaged/nb26-43/video.mp4 ","Download")</f>
        <v>Download</v>
      </c>
      <c r="Y93" s="13" t="s">
        <v>42</v>
      </c>
      <c r="Z93" s="13" t="str">
        <f>HYPERLINK("https://diamdna.azureedge.net/reports/3545985219.pdf#zoom=150 ","3545985219")</f>
        <v>3545985219</v>
      </c>
      <c r="AA93" s="13" t="s">
        <v>43</v>
      </c>
      <c r="AB93" s="13">
        <v>2</v>
      </c>
      <c r="AC93" s="15" t="s">
        <v>194</v>
      </c>
      <c r="AD93" s="13" t="s">
        <v>104</v>
      </c>
      <c r="AE93" s="13">
        <v>17500</v>
      </c>
      <c r="AF93" s="14">
        <v>35000</v>
      </c>
      <c r="AG93" s="14">
        <v>-44</v>
      </c>
      <c r="AH93" s="14">
        <v>9800</v>
      </c>
      <c r="AI93" s="14">
        <v>19600</v>
      </c>
      <c r="AJ93" s="14" t="s">
        <v>120</v>
      </c>
      <c r="AK93" s="13" t="s">
        <v>46</v>
      </c>
      <c r="AL93" s="13" t="s">
        <v>120</v>
      </c>
      <c r="AM93" s="13" t="s">
        <v>49</v>
      </c>
      <c r="AN93" s="13" t="s">
        <v>444</v>
      </c>
      <c r="AO93" s="13">
        <v>56</v>
      </c>
      <c r="AP93" s="14">
        <v>64.7</v>
      </c>
      <c r="AQ93" s="14" t="s">
        <v>49</v>
      </c>
      <c r="AR93" s="13">
        <v>38</v>
      </c>
      <c r="AS93" s="14">
        <v>17.5</v>
      </c>
      <c r="AT93" s="14">
        <v>40</v>
      </c>
      <c r="AU93" s="13" t="s">
        <v>443</v>
      </c>
      <c r="AV93" s="13" t="str">
        <f>HYPERLINK("https://diamdna.azureedge.net/imaged/nb26-43/still.jpg ","Image")</f>
        <v>Image</v>
      </c>
      <c r="AW93" s="13" t="str">
        <f>HYPERLINK("https://diamdna.azureedge.net/Vision360.html?d=nb26-43&amp;sr=-30&amp;s=30 ","Video")</f>
        <v>Video</v>
      </c>
      <c r="AX93" s="13" t="str">
        <f>HYPERLINK("https://diamdna.azureedge.net/imaged/nb26-43/video.mp4 ","Download")</f>
        <v>Download</v>
      </c>
      <c r="AY93" s="13" t="s">
        <v>42</v>
      </c>
      <c r="AZ93" s="13" t="str">
        <f>HYPERLINK("https://diamdna.azureedge.net/reports/3545985219.pdf#zoom=150 ","3545985219")</f>
        <v>3545985219</v>
      </c>
      <c r="BA93" s="13" t="s">
        <v>43</v>
      </c>
      <c r="BB93" s="13">
        <v>2</v>
      </c>
      <c r="BC93" s="15" t="s">
        <v>194</v>
      </c>
      <c r="BD93" s="13" t="s">
        <v>104</v>
      </c>
      <c r="BE93" s="13">
        <v>17500</v>
      </c>
      <c r="BF93" s="14">
        <v>35000</v>
      </c>
      <c r="BG93" s="14">
        <v>-44</v>
      </c>
      <c r="BH93" s="14">
        <v>9800</v>
      </c>
      <c r="BI93" s="14">
        <v>19600</v>
      </c>
      <c r="BJ93" s="14" t="s">
        <v>120</v>
      </c>
      <c r="BK93" s="13" t="s">
        <v>46</v>
      </c>
      <c r="BL93" s="13" t="s">
        <v>120</v>
      </c>
      <c r="BM93" s="13" t="s">
        <v>49</v>
      </c>
      <c r="BN93" s="13" t="s">
        <v>444</v>
      </c>
      <c r="BO93" s="13">
        <v>56</v>
      </c>
      <c r="BP93" s="14">
        <v>64.7</v>
      </c>
      <c r="BQ93" s="14" t="s">
        <v>49</v>
      </c>
      <c r="BR93" s="13">
        <v>38</v>
      </c>
      <c r="BS93" s="14">
        <v>17.5</v>
      </c>
      <c r="BT93" s="14">
        <v>40</v>
      </c>
      <c r="BU93" s="14">
        <v>42</v>
      </c>
      <c r="BV93" s="14" t="s">
        <v>445</v>
      </c>
      <c r="BW93" s="13" t="s">
        <v>50</v>
      </c>
      <c r="BX93" s="13" t="s">
        <v>446</v>
      </c>
      <c r="BY93" s="13">
        <v>5.5</v>
      </c>
      <c r="BZ93" s="14">
        <v>1.02</v>
      </c>
      <c r="CA93" s="14" t="s">
        <v>52</v>
      </c>
      <c r="CB93" s="13" t="s">
        <v>128</v>
      </c>
      <c r="CC93" s="13" t="s">
        <v>129</v>
      </c>
      <c r="CD93" s="13" t="s">
        <v>54</v>
      </c>
      <c r="CE93" s="13" t="s">
        <v>110</v>
      </c>
      <c r="CF93" s="13" t="s">
        <v>56</v>
      </c>
      <c r="CG93" s="13" t="s">
        <v>57</v>
      </c>
      <c r="CH93" s="13" t="s">
        <v>286</v>
      </c>
    </row>
    <row r="94" spans="21:86" x14ac:dyDescent="0.3">
      <c r="U94" s="13" t="s">
        <v>447</v>
      </c>
      <c r="V94" s="13" t="str">
        <f>HYPERLINK("https://diamdna.azureedge.net/imaged/bdq-44/still.jpg ","Image")</f>
        <v>Image</v>
      </c>
      <c r="W94" s="13" t="str">
        <f>HYPERLINK("https://diamdna.azureedge.net/Vision360.html?d=bdq-44&amp;sr=-30&amp;s=30 ","Video")</f>
        <v>Video</v>
      </c>
      <c r="X94" s="13" t="str">
        <f>HYPERLINK("https://diamdna.azureedge.net/imaged/bdq-44/video.mp4 ","Download")</f>
        <v>Download</v>
      </c>
      <c r="Y94" s="13" t="s">
        <v>42</v>
      </c>
      <c r="Z94" s="13" t="str">
        <f>HYPERLINK("https://diamdna.azureedge.net/reports/1547594166.pdf#zoom=150 ","1547594166")</f>
        <v>1547594166</v>
      </c>
      <c r="AA94" s="13" t="s">
        <v>43</v>
      </c>
      <c r="AB94" s="13">
        <v>2</v>
      </c>
      <c r="AC94" s="14" t="s">
        <v>194</v>
      </c>
      <c r="AD94" s="13" t="s">
        <v>60</v>
      </c>
      <c r="AE94" s="13">
        <v>9800</v>
      </c>
      <c r="AF94" s="14">
        <v>19600</v>
      </c>
      <c r="AG94" s="14">
        <v>-53</v>
      </c>
      <c r="AH94" s="14">
        <v>4606</v>
      </c>
      <c r="AI94" s="14">
        <v>9212</v>
      </c>
      <c r="AJ94" s="14" t="s">
        <v>46</v>
      </c>
      <c r="AK94" s="13" t="s">
        <v>46</v>
      </c>
      <c r="AL94" s="13" t="s">
        <v>46</v>
      </c>
      <c r="AM94" s="13" t="s">
        <v>87</v>
      </c>
      <c r="AN94" s="13" t="s">
        <v>448</v>
      </c>
      <c r="AO94" s="13">
        <v>56</v>
      </c>
      <c r="AP94" s="14">
        <v>62.5</v>
      </c>
      <c r="AQ94" s="14" t="s">
        <v>49</v>
      </c>
      <c r="AR94" s="13">
        <v>36.5</v>
      </c>
      <c r="AS94" s="14">
        <v>16.5</v>
      </c>
      <c r="AT94" s="14">
        <v>40.6</v>
      </c>
      <c r="AU94" s="13" t="s">
        <v>447</v>
      </c>
      <c r="AV94" s="13" t="str">
        <f>HYPERLINK("https://diamdna.azureedge.net/imaged/bdq-44/still.jpg ","Image")</f>
        <v>Image</v>
      </c>
      <c r="AW94" s="13" t="str">
        <f>HYPERLINK("https://diamdna.azureedge.net/Vision360.html?d=bdq-44&amp;sr=-30&amp;s=30 ","Video")</f>
        <v>Video</v>
      </c>
      <c r="AX94" s="13" t="str">
        <f>HYPERLINK("https://diamdna.azureedge.net/imaged/bdq-44/video.mp4 ","Download")</f>
        <v>Download</v>
      </c>
      <c r="AY94" s="13" t="s">
        <v>42</v>
      </c>
      <c r="AZ94" s="13" t="str">
        <f>HYPERLINK("https://diamdna.azureedge.net/reports/1547594166.pdf#zoom=150 ","1547594166")</f>
        <v>1547594166</v>
      </c>
      <c r="BA94" s="13" t="s">
        <v>43</v>
      </c>
      <c r="BB94" s="13">
        <v>2</v>
      </c>
      <c r="BC94" s="14" t="s">
        <v>194</v>
      </c>
      <c r="BD94" s="13" t="s">
        <v>60</v>
      </c>
      <c r="BE94" s="13">
        <v>9800</v>
      </c>
      <c r="BF94" s="14">
        <v>19600</v>
      </c>
      <c r="BG94" s="14">
        <v>-53</v>
      </c>
      <c r="BH94" s="14">
        <v>4606</v>
      </c>
      <c r="BI94" s="14">
        <v>9212</v>
      </c>
      <c r="BJ94" s="14" t="s">
        <v>46</v>
      </c>
      <c r="BK94" s="13" t="s">
        <v>46</v>
      </c>
      <c r="BL94" s="13" t="s">
        <v>46</v>
      </c>
      <c r="BM94" s="13" t="s">
        <v>87</v>
      </c>
      <c r="BN94" s="13" t="s">
        <v>448</v>
      </c>
      <c r="BO94" s="13">
        <v>56</v>
      </c>
      <c r="BP94" s="14">
        <v>62.5</v>
      </c>
      <c r="BQ94" s="14" t="s">
        <v>49</v>
      </c>
      <c r="BR94" s="13">
        <v>36.5</v>
      </c>
      <c r="BS94" s="14">
        <v>16.5</v>
      </c>
      <c r="BT94" s="14">
        <v>40.6</v>
      </c>
      <c r="BU94" s="14">
        <v>43</v>
      </c>
      <c r="BV94" s="14" t="s">
        <v>449</v>
      </c>
      <c r="BW94" s="13" t="s">
        <v>50</v>
      </c>
      <c r="BX94" s="13" t="s">
        <v>51</v>
      </c>
      <c r="BY94" s="13">
        <v>3.5</v>
      </c>
      <c r="BZ94" s="14">
        <v>1</v>
      </c>
      <c r="CA94" s="14" t="s">
        <v>52</v>
      </c>
      <c r="CB94" s="13" t="s">
        <v>54</v>
      </c>
      <c r="CC94" s="13" t="s">
        <v>450</v>
      </c>
      <c r="CD94" s="13" t="s">
        <v>54</v>
      </c>
      <c r="CE94" s="13" t="s">
        <v>93</v>
      </c>
      <c r="CF94" s="13" t="s">
        <v>339</v>
      </c>
      <c r="CG94" s="13" t="s">
        <v>57</v>
      </c>
      <c r="CH94" s="13" t="s">
        <v>451</v>
      </c>
    </row>
    <row r="95" spans="21:86" x14ac:dyDescent="0.3">
      <c r="U95" s="13" t="s">
        <v>452</v>
      </c>
      <c r="V95" s="13" t="str">
        <f>HYPERLINK("https://diamdna.azureedge.net/imaged/bdq-73/still.jpg ","Image")</f>
        <v>Image</v>
      </c>
      <c r="W95" s="13" t="str">
        <f>HYPERLINK("https://diamdna.azureedge.net/Vision360.html?d=bdq-73&amp;sr=-30&amp;s=30 ","Video")</f>
        <v>Video</v>
      </c>
      <c r="X95" s="13" t="str">
        <f>HYPERLINK("https://diamdna.azureedge.net/imaged/bdq-73/video.mp4 ","Download")</f>
        <v>Download</v>
      </c>
      <c r="Y95" s="13" t="s">
        <v>76</v>
      </c>
      <c r="Z95" s="13" t="str">
        <f>HYPERLINK("https://diamdna.azureedge.net/reports/769633531.pdf#zoom=150 ","769633531")</f>
        <v>769633531</v>
      </c>
      <c r="AA95" s="13" t="s">
        <v>43</v>
      </c>
      <c r="AB95" s="13">
        <v>2</v>
      </c>
      <c r="AC95" s="14" t="s">
        <v>194</v>
      </c>
      <c r="AD95" s="13" t="s">
        <v>60</v>
      </c>
      <c r="AE95" s="13">
        <v>9800</v>
      </c>
      <c r="AF95" s="14">
        <v>19600</v>
      </c>
      <c r="AG95" s="14">
        <v>-72.5</v>
      </c>
      <c r="AH95" s="14">
        <v>2695</v>
      </c>
      <c r="AI95" s="14">
        <v>5390</v>
      </c>
      <c r="AJ95" s="14" t="s">
        <v>362</v>
      </c>
      <c r="AK95" s="13" t="s">
        <v>46</v>
      </c>
      <c r="AL95" s="13" t="s">
        <v>374</v>
      </c>
      <c r="AM95" s="13" t="s">
        <v>49</v>
      </c>
      <c r="AN95" s="13" t="s">
        <v>453</v>
      </c>
      <c r="AO95" s="13">
        <v>58</v>
      </c>
      <c r="AP95" s="14">
        <v>64.5</v>
      </c>
      <c r="AQ95" s="14" t="s">
        <v>454</v>
      </c>
      <c r="AR95" s="13">
        <v>39.9</v>
      </c>
      <c r="AS95" s="14">
        <v>17</v>
      </c>
      <c r="AT95" s="14">
        <v>39</v>
      </c>
      <c r="AU95" s="13" t="s">
        <v>452</v>
      </c>
      <c r="AV95" s="13" t="str">
        <f>HYPERLINK("https://diamdna.azureedge.net/imaged/bdq-73/still.jpg ","Image")</f>
        <v>Image</v>
      </c>
      <c r="AW95" s="13" t="str">
        <f>HYPERLINK("https://diamdna.azureedge.net/Vision360.html?d=bdq-73&amp;sr=-30&amp;s=30 ","Video")</f>
        <v>Video</v>
      </c>
      <c r="AX95" s="13" t="str">
        <f>HYPERLINK("https://diamdna.azureedge.net/imaged/bdq-73/video.mp4 ","Download")</f>
        <v>Download</v>
      </c>
      <c r="AY95" s="13" t="s">
        <v>76</v>
      </c>
      <c r="AZ95" s="13" t="str">
        <f>HYPERLINK("https://diamdna.azureedge.net/reports/769633531.pdf#zoom=150 ","769633531")</f>
        <v>769633531</v>
      </c>
      <c r="BA95" s="13" t="s">
        <v>43</v>
      </c>
      <c r="BB95" s="13">
        <v>2</v>
      </c>
      <c r="BC95" s="14" t="s">
        <v>194</v>
      </c>
      <c r="BD95" s="13" t="s">
        <v>60</v>
      </c>
      <c r="BE95" s="13">
        <v>9800</v>
      </c>
      <c r="BF95" s="14">
        <v>19600</v>
      </c>
      <c r="BG95" s="14">
        <v>-72.5</v>
      </c>
      <c r="BH95" s="14">
        <v>2695</v>
      </c>
      <c r="BI95" s="14">
        <v>5390</v>
      </c>
      <c r="BJ95" s="14" t="s">
        <v>362</v>
      </c>
      <c r="BK95" s="13" t="s">
        <v>46</v>
      </c>
      <c r="BL95" s="13" t="s">
        <v>374</v>
      </c>
      <c r="BM95" s="13" t="s">
        <v>49</v>
      </c>
      <c r="BN95" s="13" t="s">
        <v>453</v>
      </c>
      <c r="BO95" s="13">
        <v>58</v>
      </c>
      <c r="BP95" s="14">
        <v>64.5</v>
      </c>
      <c r="BQ95" s="14" t="s">
        <v>454</v>
      </c>
      <c r="BR95" s="13">
        <v>39.9</v>
      </c>
      <c r="BS95" s="14">
        <v>17</v>
      </c>
      <c r="BT95" s="14">
        <v>39</v>
      </c>
      <c r="BU95" s="14">
        <v>40</v>
      </c>
      <c r="BV95" s="14"/>
      <c r="BW95" s="13" t="s">
        <v>50</v>
      </c>
      <c r="BX95" s="13" t="s">
        <v>107</v>
      </c>
      <c r="BY95" s="13">
        <v>7.1</v>
      </c>
      <c r="BZ95" s="14">
        <v>1.01</v>
      </c>
      <c r="CA95" s="14" t="s">
        <v>108</v>
      </c>
      <c r="CB95" s="13" t="s">
        <v>54</v>
      </c>
      <c r="CC95" s="13" t="s">
        <v>82</v>
      </c>
      <c r="CD95" s="13" t="s">
        <v>54</v>
      </c>
      <c r="CE95" s="13" t="s">
        <v>93</v>
      </c>
      <c r="CF95" s="13" t="s">
        <v>339</v>
      </c>
      <c r="CG95" s="13" t="s">
        <v>57</v>
      </c>
      <c r="CH95" s="13" t="s">
        <v>451</v>
      </c>
    </row>
    <row r="96" spans="21:86" x14ac:dyDescent="0.3">
      <c r="U96" s="13" t="s">
        <v>455</v>
      </c>
      <c r="V96" s="13" t="str">
        <f>HYPERLINK("https://diamdna.azureedge.net/imaged/ru-145/still.jpg ","Image")</f>
        <v>Image</v>
      </c>
      <c r="W96" s="13" t="str">
        <f>HYPERLINK("https://diamdna.azureedge.net/Vision360.html?d=ru-145&amp;sr=-30&amp;s=30 ","Video")</f>
        <v>Video</v>
      </c>
      <c r="X96" s="13" t="str">
        <f>HYPERLINK("https://diamdna.azureedge.net/imaged/ru-145/video.mp4 ","Download")</f>
        <v>Download</v>
      </c>
      <c r="Y96" s="13" t="s">
        <v>163</v>
      </c>
      <c r="Z96" s="13" t="str">
        <f>HYPERLINK("https://diamdna.azureedge.net/reports/230000115846.pdf#zoom=150 ","230000115846")</f>
        <v>230000115846</v>
      </c>
      <c r="AA96" s="13" t="s">
        <v>43</v>
      </c>
      <c r="AB96" s="13">
        <v>2</v>
      </c>
      <c r="AC96" s="14" t="s">
        <v>194</v>
      </c>
      <c r="AD96" s="13" t="s">
        <v>261</v>
      </c>
      <c r="AE96" s="13">
        <v>7200</v>
      </c>
      <c r="AF96" s="14">
        <v>14400</v>
      </c>
      <c r="AG96" s="14">
        <v>-78</v>
      </c>
      <c r="AH96" s="14">
        <v>1584</v>
      </c>
      <c r="AI96" s="14">
        <v>3168</v>
      </c>
      <c r="AJ96" s="14" t="s">
        <v>362</v>
      </c>
      <c r="AK96" s="13" t="s">
        <v>46</v>
      </c>
      <c r="AL96" s="13" t="s">
        <v>120</v>
      </c>
      <c r="AM96" s="13" t="s">
        <v>49</v>
      </c>
      <c r="AN96" s="13" t="s">
        <v>456</v>
      </c>
      <c r="AO96" s="13">
        <v>54</v>
      </c>
      <c r="AP96" s="14">
        <v>65.599999999999994</v>
      </c>
      <c r="AQ96" s="14" t="s">
        <v>165</v>
      </c>
      <c r="AR96" s="13">
        <v>39</v>
      </c>
      <c r="AS96" s="14">
        <v>18.5</v>
      </c>
      <c r="AT96" s="14">
        <v>38.799999999999997</v>
      </c>
      <c r="AU96" s="13" t="s">
        <v>455</v>
      </c>
      <c r="AV96" s="13" t="str">
        <f>HYPERLINK("https://diamdna.azureedge.net/imaged/ru-145/still.jpg ","Image")</f>
        <v>Image</v>
      </c>
      <c r="AW96" s="13" t="str">
        <f>HYPERLINK("https://diamdna.azureedge.net/Vision360.html?d=ru-145&amp;sr=-30&amp;s=30 ","Video")</f>
        <v>Video</v>
      </c>
      <c r="AX96" s="13" t="str">
        <f>HYPERLINK("https://diamdna.azureedge.net/imaged/ru-145/video.mp4 ","Download")</f>
        <v>Download</v>
      </c>
      <c r="AY96" s="13" t="s">
        <v>163</v>
      </c>
      <c r="AZ96" s="13" t="str">
        <f>HYPERLINK("https://diamdna.azureedge.net/reports/230000115846.pdf#zoom=150 ","230000115846")</f>
        <v>230000115846</v>
      </c>
      <c r="BA96" s="13" t="s">
        <v>43</v>
      </c>
      <c r="BB96" s="13">
        <v>2</v>
      </c>
      <c r="BC96" s="14" t="s">
        <v>194</v>
      </c>
      <c r="BD96" s="13" t="s">
        <v>261</v>
      </c>
      <c r="BE96" s="13">
        <v>7200</v>
      </c>
      <c r="BF96" s="14">
        <v>14400</v>
      </c>
      <c r="BG96" s="14">
        <v>-78</v>
      </c>
      <c r="BH96" s="14">
        <v>1584</v>
      </c>
      <c r="BI96" s="14">
        <v>3168</v>
      </c>
      <c r="BJ96" s="14" t="s">
        <v>362</v>
      </c>
      <c r="BK96" s="13" t="s">
        <v>46</v>
      </c>
      <c r="BL96" s="13" t="s">
        <v>120</v>
      </c>
      <c r="BM96" s="13" t="s">
        <v>49</v>
      </c>
      <c r="BN96" s="13" t="s">
        <v>456</v>
      </c>
      <c r="BO96" s="13">
        <v>54</v>
      </c>
      <c r="BP96" s="14">
        <v>65.599999999999994</v>
      </c>
      <c r="BQ96" s="14" t="s">
        <v>165</v>
      </c>
      <c r="BR96" s="13">
        <v>39</v>
      </c>
      <c r="BS96" s="14">
        <v>18.5</v>
      </c>
      <c r="BT96" s="14">
        <v>38.799999999999997</v>
      </c>
      <c r="BU96" s="14">
        <v>40</v>
      </c>
      <c r="BV96" s="14"/>
      <c r="BW96" s="13" t="s">
        <v>50</v>
      </c>
      <c r="BX96" s="13" t="s">
        <v>364</v>
      </c>
      <c r="BY96" s="13">
        <v>7</v>
      </c>
      <c r="BZ96" s="14">
        <v>1.01</v>
      </c>
      <c r="CA96" s="14" t="s">
        <v>457</v>
      </c>
      <c r="CB96" s="13" t="s">
        <v>54</v>
      </c>
      <c r="CC96" s="13"/>
      <c r="CD96" s="13" t="s">
        <v>54</v>
      </c>
      <c r="CE96" s="13" t="s">
        <v>93</v>
      </c>
      <c r="CF96" s="13" t="s">
        <v>56</v>
      </c>
      <c r="CG96" s="13" t="s">
        <v>57</v>
      </c>
      <c r="CH96" s="13" t="s">
        <v>458</v>
      </c>
    </row>
    <row r="97" spans="21:86" x14ac:dyDescent="0.3">
      <c r="U97" s="13" t="s">
        <v>459</v>
      </c>
      <c r="V97" s="13" t="str">
        <f>HYPERLINK("https://diamdna.azureedge.net/imaged/lr25-19/still.jpg ","Image")</f>
        <v>Image</v>
      </c>
      <c r="W97" s="13" t="str">
        <f>HYPERLINK("https://diamdna.azureedge.net/Vision360.html?d=lr25-19&amp;sr=-30&amp;s=30 ","Video")</f>
        <v>Video</v>
      </c>
      <c r="X97" s="13" t="str">
        <f>HYPERLINK("https://diamdna.azureedge.net/imaged/lr25-19/video.mp4 ","Download")</f>
        <v>Download</v>
      </c>
      <c r="Y97" s="13" t="s">
        <v>42</v>
      </c>
      <c r="Z97" s="13" t="str">
        <f>HYPERLINK("https://diamdna.azureedge.net/reports/5543516470.pdf#zoom=150 ","5543516470")</f>
        <v>5543516470</v>
      </c>
      <c r="AA97" s="13" t="s">
        <v>43</v>
      </c>
      <c r="AB97" s="13">
        <v>2</v>
      </c>
      <c r="AC97" s="14" t="s">
        <v>288</v>
      </c>
      <c r="AD97" s="13" t="s">
        <v>133</v>
      </c>
      <c r="AE97" s="13">
        <v>11200</v>
      </c>
      <c r="AF97" s="14">
        <v>22400</v>
      </c>
      <c r="AG97" s="14">
        <v>-53</v>
      </c>
      <c r="AH97" s="14">
        <v>5264</v>
      </c>
      <c r="AI97" s="14">
        <v>10528</v>
      </c>
      <c r="AJ97" s="14" t="s">
        <v>46</v>
      </c>
      <c r="AK97" s="13" t="s">
        <v>46</v>
      </c>
      <c r="AL97" s="13" t="s">
        <v>120</v>
      </c>
      <c r="AM97" s="13" t="s">
        <v>87</v>
      </c>
      <c r="AN97" s="13" t="s">
        <v>460</v>
      </c>
      <c r="AO97" s="13">
        <v>57</v>
      </c>
      <c r="AP97" s="14">
        <v>62.7</v>
      </c>
      <c r="AQ97" s="14" t="s">
        <v>49</v>
      </c>
      <c r="AR97" s="13">
        <v>36</v>
      </c>
      <c r="AS97" s="14">
        <v>16</v>
      </c>
      <c r="AT97" s="14">
        <v>40.6</v>
      </c>
      <c r="AU97" s="13" t="s">
        <v>459</v>
      </c>
      <c r="AV97" s="13" t="str">
        <f>HYPERLINK("https://diamdna.azureedge.net/imaged/lr25-19/still.jpg ","Image")</f>
        <v>Image</v>
      </c>
      <c r="AW97" s="13" t="str">
        <f>HYPERLINK("https://diamdna.azureedge.net/Vision360.html?d=lr25-19&amp;sr=-30&amp;s=30 ","Video")</f>
        <v>Video</v>
      </c>
      <c r="AX97" s="13" t="str">
        <f>HYPERLINK("https://diamdna.azureedge.net/imaged/lr25-19/video.mp4 ","Download")</f>
        <v>Download</v>
      </c>
      <c r="AY97" s="13" t="s">
        <v>42</v>
      </c>
      <c r="AZ97" s="13" t="str">
        <f>HYPERLINK("https://diamdna.azureedge.net/reports/5543516470.pdf#zoom=150 ","5543516470")</f>
        <v>5543516470</v>
      </c>
      <c r="BA97" s="13" t="s">
        <v>43</v>
      </c>
      <c r="BB97" s="13">
        <v>2</v>
      </c>
      <c r="BC97" s="14" t="s">
        <v>288</v>
      </c>
      <c r="BD97" s="13" t="s">
        <v>133</v>
      </c>
      <c r="BE97" s="13">
        <v>11200</v>
      </c>
      <c r="BF97" s="14">
        <v>22400</v>
      </c>
      <c r="BG97" s="14">
        <v>-53</v>
      </c>
      <c r="BH97" s="14">
        <v>5264</v>
      </c>
      <c r="BI97" s="14">
        <v>10528</v>
      </c>
      <c r="BJ97" s="14" t="s">
        <v>46</v>
      </c>
      <c r="BK97" s="13" t="s">
        <v>46</v>
      </c>
      <c r="BL97" s="13" t="s">
        <v>120</v>
      </c>
      <c r="BM97" s="13" t="s">
        <v>87</v>
      </c>
      <c r="BN97" s="13" t="s">
        <v>460</v>
      </c>
      <c r="BO97" s="13">
        <v>57</v>
      </c>
      <c r="BP97" s="14">
        <v>62.7</v>
      </c>
      <c r="BQ97" s="14" t="s">
        <v>49</v>
      </c>
      <c r="BR97" s="13">
        <v>36</v>
      </c>
      <c r="BS97" s="14">
        <v>16</v>
      </c>
      <c r="BT97" s="14">
        <v>40.6</v>
      </c>
      <c r="BU97" s="14">
        <v>43</v>
      </c>
      <c r="BV97" s="14" t="s">
        <v>461</v>
      </c>
      <c r="BW97" s="13" t="s">
        <v>50</v>
      </c>
      <c r="BX97" s="13" t="s">
        <v>81</v>
      </c>
      <c r="BY97" s="13">
        <v>4</v>
      </c>
      <c r="BZ97" s="14">
        <v>1.02</v>
      </c>
      <c r="CA97" s="14" t="s">
        <v>99</v>
      </c>
      <c r="CB97" s="13" t="s">
        <v>53</v>
      </c>
      <c r="CC97" s="13" t="s">
        <v>394</v>
      </c>
      <c r="CD97" s="13" t="s">
        <v>54</v>
      </c>
      <c r="CE97" s="13" t="s">
        <v>100</v>
      </c>
      <c r="CF97" s="13" t="s">
        <v>56</v>
      </c>
      <c r="CG97" s="13" t="s">
        <v>166</v>
      </c>
      <c r="CH97" s="13" t="s">
        <v>462</v>
      </c>
    </row>
    <row r="98" spans="21:86" x14ac:dyDescent="0.3">
      <c r="U98" s="13" t="s">
        <v>463</v>
      </c>
      <c r="V98" s="13" t="str">
        <f>HYPERLINK("https://diamdna.azureedge.net/imaged/kl25-21/still.jpg ","Image")</f>
        <v>Image</v>
      </c>
      <c r="W98" s="13" t="str">
        <f>HYPERLINK("https://diamdna.azureedge.net/Vision360.html?d=kl25-21&amp;sr=-30&amp;s=30 ","Video")</f>
        <v>Video</v>
      </c>
      <c r="X98" s="13" t="str">
        <f>HYPERLINK("https://diamdna.azureedge.net/imaged/kl25-21/video.mp4 ","Download")</f>
        <v>Download</v>
      </c>
      <c r="Y98" s="13" t="s">
        <v>42</v>
      </c>
      <c r="Z98" s="13" t="str">
        <f>HYPERLINK("https://diamdna.azureedge.net/reports/7548346428.pdf#zoom=150 ","7548346428")</f>
        <v>7548346428</v>
      </c>
      <c r="AA98" s="13" t="s">
        <v>43</v>
      </c>
      <c r="AB98" s="13">
        <v>2</v>
      </c>
      <c r="AC98" s="14" t="s">
        <v>288</v>
      </c>
      <c r="AD98" s="13" t="s">
        <v>60</v>
      </c>
      <c r="AE98" s="13">
        <v>9200</v>
      </c>
      <c r="AF98" s="14">
        <v>18400</v>
      </c>
      <c r="AG98" s="14">
        <v>-48.5</v>
      </c>
      <c r="AH98" s="14">
        <v>4738</v>
      </c>
      <c r="AI98" s="14">
        <v>9476</v>
      </c>
      <c r="AJ98" s="14" t="s">
        <v>46</v>
      </c>
      <c r="AK98" s="13" t="s">
        <v>46</v>
      </c>
      <c r="AL98" s="13" t="s">
        <v>46</v>
      </c>
      <c r="AM98" s="13" t="s">
        <v>47</v>
      </c>
      <c r="AN98" s="13" t="s">
        <v>464</v>
      </c>
      <c r="AO98" s="13">
        <v>56</v>
      </c>
      <c r="AP98" s="14">
        <v>63.1</v>
      </c>
      <c r="AQ98" s="14" t="s">
        <v>49</v>
      </c>
      <c r="AR98" s="13">
        <v>36</v>
      </c>
      <c r="AS98" s="14">
        <v>16</v>
      </c>
      <c r="AT98" s="14">
        <v>41</v>
      </c>
      <c r="AU98" s="13" t="s">
        <v>463</v>
      </c>
      <c r="AV98" s="13" t="str">
        <f>HYPERLINK("https://diamdna.azureedge.net/imaged/kl25-21/still.jpg ","Image")</f>
        <v>Image</v>
      </c>
      <c r="AW98" s="13" t="str">
        <f>HYPERLINK("https://diamdna.azureedge.net/Vision360.html?d=kl25-21&amp;sr=-30&amp;s=30 ","Video")</f>
        <v>Video</v>
      </c>
      <c r="AX98" s="13" t="str">
        <f>HYPERLINK("https://diamdna.azureedge.net/imaged/kl25-21/video.mp4 ","Download")</f>
        <v>Download</v>
      </c>
      <c r="AY98" s="13" t="s">
        <v>42</v>
      </c>
      <c r="AZ98" s="13" t="str">
        <f>HYPERLINK("https://diamdna.azureedge.net/reports/7548346428.pdf#zoom=150 ","7548346428")</f>
        <v>7548346428</v>
      </c>
      <c r="BA98" s="13" t="s">
        <v>43</v>
      </c>
      <c r="BB98" s="13">
        <v>2</v>
      </c>
      <c r="BC98" s="14" t="s">
        <v>288</v>
      </c>
      <c r="BD98" s="13" t="s">
        <v>60</v>
      </c>
      <c r="BE98" s="13">
        <v>9200</v>
      </c>
      <c r="BF98" s="14">
        <v>18400</v>
      </c>
      <c r="BG98" s="14">
        <v>-48.5</v>
      </c>
      <c r="BH98" s="14">
        <v>4738</v>
      </c>
      <c r="BI98" s="14">
        <v>9476</v>
      </c>
      <c r="BJ98" s="14" t="s">
        <v>46</v>
      </c>
      <c r="BK98" s="13" t="s">
        <v>46</v>
      </c>
      <c r="BL98" s="13" t="s">
        <v>46</v>
      </c>
      <c r="BM98" s="13" t="s">
        <v>47</v>
      </c>
      <c r="BN98" s="13" t="s">
        <v>464</v>
      </c>
      <c r="BO98" s="13">
        <v>56</v>
      </c>
      <c r="BP98" s="14">
        <v>63.1</v>
      </c>
      <c r="BQ98" s="14" t="s">
        <v>49</v>
      </c>
      <c r="BR98" s="13">
        <v>36</v>
      </c>
      <c r="BS98" s="14">
        <v>16</v>
      </c>
      <c r="BT98" s="14">
        <v>41</v>
      </c>
      <c r="BU98" s="14">
        <v>43.5</v>
      </c>
      <c r="BV98" s="14" t="s">
        <v>465</v>
      </c>
      <c r="BW98" s="13" t="s">
        <v>50</v>
      </c>
      <c r="BX98" s="13" t="s">
        <v>51</v>
      </c>
      <c r="BY98" s="13">
        <v>3.5</v>
      </c>
      <c r="BZ98" s="14">
        <v>1.01</v>
      </c>
      <c r="CA98" s="14" t="s">
        <v>197</v>
      </c>
      <c r="CB98" s="13" t="s">
        <v>54</v>
      </c>
      <c r="CC98" s="13" t="s">
        <v>254</v>
      </c>
      <c r="CD98" s="13" t="s">
        <v>54</v>
      </c>
      <c r="CE98" s="13" t="s">
        <v>110</v>
      </c>
      <c r="CF98" s="13" t="s">
        <v>56</v>
      </c>
      <c r="CG98" s="13" t="s">
        <v>65</v>
      </c>
      <c r="CH98" s="13" t="s">
        <v>144</v>
      </c>
    </row>
    <row r="99" spans="21:86" x14ac:dyDescent="0.3">
      <c r="U99" s="13" t="s">
        <v>466</v>
      </c>
      <c r="V99" s="13" t="str">
        <f>HYPERLINK("https://diamdna.azureedge.net/imaged/bec-129/still.jpg ","Image")</f>
        <v>Image</v>
      </c>
      <c r="W99" s="13" t="str">
        <f>HYPERLINK("https://diamdna.azureedge.net/Vision360.html?d=bec-129&amp;sr=-30&amp;s=30 ","Video")</f>
        <v>Video</v>
      </c>
      <c r="X99" s="13" t="str">
        <f>HYPERLINK("https://diamdna.azureedge.net/imaged/bec-129/video.mp4 ","Download")</f>
        <v>Download</v>
      </c>
      <c r="Y99" s="13" t="s">
        <v>163</v>
      </c>
      <c r="Z99" s="13" t="str">
        <f>HYPERLINK("https://diamdna.azureedge.net/reports/260000058482.pdf#zoom=150 ","260000058482")</f>
        <v>260000058482</v>
      </c>
      <c r="AA99" s="13" t="s">
        <v>43</v>
      </c>
      <c r="AB99" s="13">
        <v>2</v>
      </c>
      <c r="AC99" s="14" t="s">
        <v>288</v>
      </c>
      <c r="AD99" s="13" t="s">
        <v>261</v>
      </c>
      <c r="AE99" s="13">
        <v>6800</v>
      </c>
      <c r="AF99" s="14">
        <v>13600</v>
      </c>
      <c r="AG99" s="14">
        <v>-68.5</v>
      </c>
      <c r="AH99" s="14">
        <v>2142</v>
      </c>
      <c r="AI99" s="14">
        <v>4284</v>
      </c>
      <c r="AJ99" s="14" t="s">
        <v>362</v>
      </c>
      <c r="AK99" s="13" t="s">
        <v>120</v>
      </c>
      <c r="AL99" s="13" t="s">
        <v>120</v>
      </c>
      <c r="AM99" s="13" t="s">
        <v>49</v>
      </c>
      <c r="AN99" s="13" t="s">
        <v>467</v>
      </c>
      <c r="AO99" s="13">
        <v>54</v>
      </c>
      <c r="AP99" s="14">
        <v>65.8</v>
      </c>
      <c r="AQ99" s="14" t="s">
        <v>165</v>
      </c>
      <c r="AR99" s="13">
        <v>39.4</v>
      </c>
      <c r="AS99" s="14">
        <v>19</v>
      </c>
      <c r="AT99" s="14">
        <v>39.1</v>
      </c>
      <c r="AU99" s="13" t="s">
        <v>466</v>
      </c>
      <c r="AV99" s="13" t="str">
        <f>HYPERLINK("https://diamdna.azureedge.net/imaged/bec-129/still.jpg ","Image")</f>
        <v>Image</v>
      </c>
      <c r="AW99" s="13" t="str">
        <f>HYPERLINK("https://diamdna.azureedge.net/Vision360.html?d=bec-129&amp;sr=-30&amp;s=30 ","Video")</f>
        <v>Video</v>
      </c>
      <c r="AX99" s="13" t="str">
        <f>HYPERLINK("https://diamdna.azureedge.net/imaged/bec-129/video.mp4 ","Download")</f>
        <v>Download</v>
      </c>
      <c r="AY99" s="13" t="s">
        <v>163</v>
      </c>
      <c r="AZ99" s="13" t="str">
        <f>HYPERLINK("https://diamdna.azureedge.net/reports/260000058482.pdf#zoom=150 ","260000058482")</f>
        <v>260000058482</v>
      </c>
      <c r="BA99" s="13" t="s">
        <v>43</v>
      </c>
      <c r="BB99" s="13">
        <v>2</v>
      </c>
      <c r="BC99" s="14" t="s">
        <v>288</v>
      </c>
      <c r="BD99" s="13" t="s">
        <v>261</v>
      </c>
      <c r="BE99" s="13">
        <v>6800</v>
      </c>
      <c r="BF99" s="14">
        <v>13600</v>
      </c>
      <c r="BG99" s="14">
        <v>-68.5</v>
      </c>
      <c r="BH99" s="14">
        <v>2142</v>
      </c>
      <c r="BI99" s="14">
        <v>4284</v>
      </c>
      <c r="BJ99" s="14" t="s">
        <v>362</v>
      </c>
      <c r="BK99" s="13" t="s">
        <v>120</v>
      </c>
      <c r="BL99" s="13" t="s">
        <v>120</v>
      </c>
      <c r="BM99" s="13" t="s">
        <v>49</v>
      </c>
      <c r="BN99" s="13" t="s">
        <v>467</v>
      </c>
      <c r="BO99" s="13">
        <v>54</v>
      </c>
      <c r="BP99" s="14">
        <v>65.8</v>
      </c>
      <c r="BQ99" s="14" t="s">
        <v>165</v>
      </c>
      <c r="BR99" s="13">
        <v>39.4</v>
      </c>
      <c r="BS99" s="14">
        <v>19</v>
      </c>
      <c r="BT99" s="14">
        <v>39.1</v>
      </c>
      <c r="BU99" s="14">
        <v>40.5</v>
      </c>
      <c r="BV99" s="14"/>
      <c r="BW99" s="13" t="s">
        <v>50</v>
      </c>
      <c r="BX99" s="13" t="s">
        <v>364</v>
      </c>
      <c r="BY99" s="13">
        <v>6.5</v>
      </c>
      <c r="BZ99" s="14">
        <v>1.01</v>
      </c>
      <c r="CA99" s="14" t="s">
        <v>108</v>
      </c>
      <c r="CB99" s="13" t="s">
        <v>54</v>
      </c>
      <c r="CC99" s="13"/>
      <c r="CD99" s="13" t="s">
        <v>54</v>
      </c>
      <c r="CE99" s="13" t="s">
        <v>93</v>
      </c>
      <c r="CF99" s="13" t="s">
        <v>339</v>
      </c>
      <c r="CG99" s="13" t="s">
        <v>57</v>
      </c>
      <c r="CH99" s="13" t="s">
        <v>316</v>
      </c>
    </row>
    <row r="100" spans="21:86" x14ac:dyDescent="0.3">
      <c r="U100" s="13" t="s">
        <v>468</v>
      </c>
      <c r="V100" s="13" t="str">
        <f>HYPERLINK("https://diamdna.azureedge.net/imaged/bdq-63/still.jpg ","Image")</f>
        <v>Image</v>
      </c>
      <c r="W100" s="13" t="str">
        <f>HYPERLINK("https://diamdna.azureedge.net/Vision360.html?d=bdq-63&amp;sr=-30&amp;s=30 ","Video")</f>
        <v>Video</v>
      </c>
      <c r="X100" s="13" t="str">
        <f>HYPERLINK("https://diamdna.azureedge.net/imaged/bdq-63/video.mp4 ","Download")</f>
        <v>Download</v>
      </c>
      <c r="Y100" s="13" t="s">
        <v>42</v>
      </c>
      <c r="Z100" s="13" t="str">
        <f>HYPERLINK("https://diamdna.azureedge.net/reports/6542528681.pdf#zoom=150 ","6542528681")</f>
        <v>6542528681</v>
      </c>
      <c r="AA100" s="13" t="s">
        <v>43</v>
      </c>
      <c r="AB100" s="13">
        <v>2</v>
      </c>
      <c r="AC100" s="14" t="s">
        <v>119</v>
      </c>
      <c r="AD100" s="13" t="s">
        <v>78</v>
      </c>
      <c r="AE100" s="13">
        <v>11500</v>
      </c>
      <c r="AF100" s="14">
        <v>23000</v>
      </c>
      <c r="AG100" s="14">
        <v>-52</v>
      </c>
      <c r="AH100" s="14">
        <v>5520</v>
      </c>
      <c r="AI100" s="14">
        <v>11040</v>
      </c>
      <c r="AJ100" s="14" t="s">
        <v>46</v>
      </c>
      <c r="AK100" s="13" t="s">
        <v>46</v>
      </c>
      <c r="AL100" s="13" t="s">
        <v>46</v>
      </c>
      <c r="AM100" s="13" t="s">
        <v>47</v>
      </c>
      <c r="AN100" s="13" t="s">
        <v>469</v>
      </c>
      <c r="AO100" s="13">
        <v>56</v>
      </c>
      <c r="AP100" s="14">
        <v>63</v>
      </c>
      <c r="AQ100" s="14" t="s">
        <v>49</v>
      </c>
      <c r="AR100" s="13">
        <v>35</v>
      </c>
      <c r="AS100" s="14">
        <v>15.5</v>
      </c>
      <c r="AT100" s="14">
        <v>41</v>
      </c>
      <c r="AU100" s="13" t="s">
        <v>468</v>
      </c>
      <c r="AV100" s="13" t="str">
        <f>HYPERLINK("https://diamdna.azureedge.net/imaged/bdq-63/still.jpg ","Image")</f>
        <v>Image</v>
      </c>
      <c r="AW100" s="13" t="str">
        <f>HYPERLINK("https://diamdna.azureedge.net/Vision360.html?d=bdq-63&amp;sr=-30&amp;s=30 ","Video")</f>
        <v>Video</v>
      </c>
      <c r="AX100" s="13" t="str">
        <f>HYPERLINK("https://diamdna.azureedge.net/imaged/bdq-63/video.mp4 ","Download")</f>
        <v>Download</v>
      </c>
      <c r="AY100" s="13" t="s">
        <v>42</v>
      </c>
      <c r="AZ100" s="13" t="str">
        <f>HYPERLINK("https://diamdna.azureedge.net/reports/6542528681.pdf#zoom=150 ","6542528681")</f>
        <v>6542528681</v>
      </c>
      <c r="BA100" s="13" t="s">
        <v>43</v>
      </c>
      <c r="BB100" s="13">
        <v>2</v>
      </c>
      <c r="BC100" s="14" t="s">
        <v>119</v>
      </c>
      <c r="BD100" s="13" t="s">
        <v>78</v>
      </c>
      <c r="BE100" s="13">
        <v>11500</v>
      </c>
      <c r="BF100" s="14">
        <v>23000</v>
      </c>
      <c r="BG100" s="14">
        <v>-52</v>
      </c>
      <c r="BH100" s="14">
        <v>5520</v>
      </c>
      <c r="BI100" s="14">
        <v>11040</v>
      </c>
      <c r="BJ100" s="14" t="s">
        <v>46</v>
      </c>
      <c r="BK100" s="13" t="s">
        <v>46</v>
      </c>
      <c r="BL100" s="13" t="s">
        <v>46</v>
      </c>
      <c r="BM100" s="13" t="s">
        <v>47</v>
      </c>
      <c r="BN100" s="13" t="s">
        <v>469</v>
      </c>
      <c r="BO100" s="13">
        <v>56</v>
      </c>
      <c r="BP100" s="14">
        <v>63</v>
      </c>
      <c r="BQ100" s="14" t="s">
        <v>49</v>
      </c>
      <c r="BR100" s="13">
        <v>35</v>
      </c>
      <c r="BS100" s="14">
        <v>15.5</v>
      </c>
      <c r="BT100" s="14">
        <v>41</v>
      </c>
      <c r="BU100" s="14">
        <v>43.5</v>
      </c>
      <c r="BV100" s="14" t="s">
        <v>470</v>
      </c>
      <c r="BW100" s="13" t="s">
        <v>50</v>
      </c>
      <c r="BX100" s="13" t="s">
        <v>81</v>
      </c>
      <c r="BY100" s="13">
        <v>4</v>
      </c>
      <c r="BZ100" s="14">
        <v>1.01</v>
      </c>
      <c r="CA100" s="14" t="s">
        <v>99</v>
      </c>
      <c r="CB100" s="13" t="s">
        <v>54</v>
      </c>
      <c r="CC100" s="13" t="s">
        <v>203</v>
      </c>
      <c r="CD100" s="13" t="s">
        <v>54</v>
      </c>
      <c r="CE100" s="13" t="s">
        <v>93</v>
      </c>
      <c r="CF100" s="13" t="s">
        <v>339</v>
      </c>
      <c r="CG100" s="13" t="s">
        <v>166</v>
      </c>
      <c r="CH100" s="13" t="s">
        <v>462</v>
      </c>
    </row>
    <row r="101" spans="21:86" x14ac:dyDescent="0.3">
      <c r="U101" s="13" t="s">
        <v>471</v>
      </c>
      <c r="V101" s="13" t="str">
        <f>HYPERLINK("https://diamdna.azureedge.net/imaged/kn25-24/still.jpg ","Image")</f>
        <v>Image</v>
      </c>
      <c r="W101" s="13" t="str">
        <f>HYPERLINK("https://diamdna.azureedge.net/Vision360.html?d=kn25-24&amp;sr=-30&amp;s=30 ","Video")</f>
        <v>Video</v>
      </c>
      <c r="X101" s="13" t="str">
        <f>HYPERLINK("https://diamdna.azureedge.net/imaged/kn25-24/video.mp4 ","Download")</f>
        <v>Download</v>
      </c>
      <c r="Y101" s="13" t="s">
        <v>42</v>
      </c>
      <c r="Z101" s="13" t="str">
        <f>HYPERLINK("https://diamdna.azureedge.net/reports/6541184738.pdf#zoom=150 ","6541184738")</f>
        <v>6541184738</v>
      </c>
      <c r="AA101" s="13" t="s">
        <v>43</v>
      </c>
      <c r="AB101" s="13">
        <v>2</v>
      </c>
      <c r="AC101" s="14" t="s">
        <v>119</v>
      </c>
      <c r="AD101" s="13" t="s">
        <v>78</v>
      </c>
      <c r="AE101" s="13">
        <v>11500</v>
      </c>
      <c r="AF101" s="14">
        <v>23000</v>
      </c>
      <c r="AG101" s="14">
        <v>-49.5</v>
      </c>
      <c r="AH101" s="14">
        <v>5807.5</v>
      </c>
      <c r="AI101" s="14">
        <v>11615</v>
      </c>
      <c r="AJ101" s="14" t="s">
        <v>120</v>
      </c>
      <c r="AK101" s="13" t="s">
        <v>46</v>
      </c>
      <c r="AL101" s="13" t="s">
        <v>120</v>
      </c>
      <c r="AM101" s="13" t="s">
        <v>134</v>
      </c>
      <c r="AN101" s="13" t="s">
        <v>472</v>
      </c>
      <c r="AO101" s="13">
        <v>58</v>
      </c>
      <c r="AP101" s="14">
        <v>64.3</v>
      </c>
      <c r="AQ101" s="14" t="s">
        <v>49</v>
      </c>
      <c r="AR101" s="13">
        <v>37.5</v>
      </c>
      <c r="AS101" s="14">
        <v>16</v>
      </c>
      <c r="AT101" s="14">
        <v>40.6</v>
      </c>
      <c r="AU101" s="13" t="s">
        <v>471</v>
      </c>
      <c r="AV101" s="13" t="str">
        <f>HYPERLINK("https://diamdna.azureedge.net/imaged/kn25-24/still.jpg ","Image")</f>
        <v>Image</v>
      </c>
      <c r="AW101" s="13" t="str">
        <f>HYPERLINK("https://diamdna.azureedge.net/Vision360.html?d=kn25-24&amp;sr=-30&amp;s=30 ","Video")</f>
        <v>Video</v>
      </c>
      <c r="AX101" s="13" t="str">
        <f>HYPERLINK("https://diamdna.azureedge.net/imaged/kn25-24/video.mp4 ","Download")</f>
        <v>Download</v>
      </c>
      <c r="AY101" s="13" t="s">
        <v>42</v>
      </c>
      <c r="AZ101" s="13" t="str">
        <f>HYPERLINK("https://diamdna.azureedge.net/reports/6541184738.pdf#zoom=150 ","6541184738")</f>
        <v>6541184738</v>
      </c>
      <c r="BA101" s="13" t="s">
        <v>43</v>
      </c>
      <c r="BB101" s="13">
        <v>2</v>
      </c>
      <c r="BC101" s="14" t="s">
        <v>119</v>
      </c>
      <c r="BD101" s="13" t="s">
        <v>78</v>
      </c>
      <c r="BE101" s="13">
        <v>11500</v>
      </c>
      <c r="BF101" s="14">
        <v>23000</v>
      </c>
      <c r="BG101" s="14">
        <v>-49.5</v>
      </c>
      <c r="BH101" s="14">
        <v>5807.5</v>
      </c>
      <c r="BI101" s="14">
        <v>11615</v>
      </c>
      <c r="BJ101" s="14" t="s">
        <v>120</v>
      </c>
      <c r="BK101" s="13" t="s">
        <v>46</v>
      </c>
      <c r="BL101" s="13" t="s">
        <v>120</v>
      </c>
      <c r="BM101" s="13" t="s">
        <v>134</v>
      </c>
      <c r="BN101" s="13" t="s">
        <v>472</v>
      </c>
      <c r="BO101" s="13">
        <v>58</v>
      </c>
      <c r="BP101" s="14">
        <v>64.3</v>
      </c>
      <c r="BQ101" s="14" t="s">
        <v>49</v>
      </c>
      <c r="BR101" s="13">
        <v>37.5</v>
      </c>
      <c r="BS101" s="14">
        <v>16</v>
      </c>
      <c r="BT101" s="14">
        <v>40.6</v>
      </c>
      <c r="BU101" s="14">
        <v>43</v>
      </c>
      <c r="BV101" s="14" t="s">
        <v>473</v>
      </c>
      <c r="BW101" s="13" t="s">
        <v>50</v>
      </c>
      <c r="BX101" s="13" t="s">
        <v>177</v>
      </c>
      <c r="BY101" s="13">
        <v>5.5</v>
      </c>
      <c r="BZ101" s="14">
        <v>1.01</v>
      </c>
      <c r="CA101" s="14" t="s">
        <v>108</v>
      </c>
      <c r="CB101" s="13" t="s">
        <v>128</v>
      </c>
      <c r="CC101" s="13" t="s">
        <v>203</v>
      </c>
      <c r="CD101" s="13" t="s">
        <v>54</v>
      </c>
      <c r="CE101" s="13" t="s">
        <v>110</v>
      </c>
      <c r="CF101" s="13" t="s">
        <v>56</v>
      </c>
      <c r="CG101" s="13" t="s">
        <v>65</v>
      </c>
      <c r="CH101" s="13" t="s">
        <v>474</v>
      </c>
    </row>
    <row r="102" spans="21:86" x14ac:dyDescent="0.3">
      <c r="U102" s="13" t="s">
        <v>475</v>
      </c>
      <c r="V102" s="13" t="str">
        <f>HYPERLINK("https://diamdna.azureedge.net/imaged/bdq-75/still.jpg ","Image")</f>
        <v>Image</v>
      </c>
      <c r="W102" s="13" t="str">
        <f>HYPERLINK("https://diamdna.azureedge.net/Vision360.html?d=bdq-75&amp;sr=-30&amp;s=30 ","Video")</f>
        <v>Video</v>
      </c>
      <c r="X102" s="13" t="str">
        <f>HYPERLINK("https://diamdna.azureedge.net/imaged/bdq-75/video.mp4 ","Download")</f>
        <v>Download</v>
      </c>
      <c r="Y102" s="13" t="s">
        <v>42</v>
      </c>
      <c r="Z102" s="13" t="str">
        <f>HYPERLINK("https://diamdna.azureedge.net/reports/1547585479.pdf#zoom=150 ","1547585479")</f>
        <v>1547585479</v>
      </c>
      <c r="AA102" s="13" t="s">
        <v>43</v>
      </c>
      <c r="AB102" s="13">
        <v>2</v>
      </c>
      <c r="AC102" s="14" t="s">
        <v>119</v>
      </c>
      <c r="AD102" s="13" t="s">
        <v>78</v>
      </c>
      <c r="AE102" s="13">
        <v>11500</v>
      </c>
      <c r="AF102" s="14">
        <v>23000</v>
      </c>
      <c r="AG102" s="14">
        <v>-57</v>
      </c>
      <c r="AH102" s="14">
        <v>4945</v>
      </c>
      <c r="AI102" s="14">
        <v>9890</v>
      </c>
      <c r="AJ102" s="14" t="s">
        <v>374</v>
      </c>
      <c r="AK102" s="13" t="s">
        <v>120</v>
      </c>
      <c r="AL102" s="13" t="s">
        <v>120</v>
      </c>
      <c r="AM102" s="13" t="s">
        <v>49</v>
      </c>
      <c r="AN102" s="13" t="s">
        <v>476</v>
      </c>
      <c r="AO102" s="13">
        <v>56</v>
      </c>
      <c r="AP102" s="14">
        <v>66.099999999999994</v>
      </c>
      <c r="AQ102" s="14" t="s">
        <v>49</v>
      </c>
      <c r="AR102" s="13">
        <v>40</v>
      </c>
      <c r="AS102" s="14">
        <v>18.5</v>
      </c>
      <c r="AT102" s="14">
        <v>39.200000000000003</v>
      </c>
      <c r="AU102" s="13" t="s">
        <v>475</v>
      </c>
      <c r="AV102" s="13" t="str">
        <f>HYPERLINK("https://diamdna.azureedge.net/imaged/bdq-75/still.jpg ","Image")</f>
        <v>Image</v>
      </c>
      <c r="AW102" s="13" t="str">
        <f>HYPERLINK("https://diamdna.azureedge.net/Vision360.html?d=bdq-75&amp;sr=-30&amp;s=30 ","Video")</f>
        <v>Video</v>
      </c>
      <c r="AX102" s="13" t="str">
        <f>HYPERLINK("https://diamdna.azureedge.net/imaged/bdq-75/video.mp4 ","Download")</f>
        <v>Download</v>
      </c>
      <c r="AY102" s="13" t="s">
        <v>42</v>
      </c>
      <c r="AZ102" s="13" t="str">
        <f>HYPERLINK("https://diamdna.azureedge.net/reports/1547585479.pdf#zoom=150 ","1547585479")</f>
        <v>1547585479</v>
      </c>
      <c r="BA102" s="13" t="s">
        <v>43</v>
      </c>
      <c r="BB102" s="13">
        <v>2</v>
      </c>
      <c r="BC102" s="14" t="s">
        <v>119</v>
      </c>
      <c r="BD102" s="13" t="s">
        <v>78</v>
      </c>
      <c r="BE102" s="13">
        <v>11500</v>
      </c>
      <c r="BF102" s="14">
        <v>23000</v>
      </c>
      <c r="BG102" s="14">
        <v>-57</v>
      </c>
      <c r="BH102" s="14">
        <v>4945</v>
      </c>
      <c r="BI102" s="14">
        <v>9890</v>
      </c>
      <c r="BJ102" s="14" t="s">
        <v>374</v>
      </c>
      <c r="BK102" s="13" t="s">
        <v>120</v>
      </c>
      <c r="BL102" s="13" t="s">
        <v>120</v>
      </c>
      <c r="BM102" s="13" t="s">
        <v>49</v>
      </c>
      <c r="BN102" s="13" t="s">
        <v>476</v>
      </c>
      <c r="BO102" s="13">
        <v>56</v>
      </c>
      <c r="BP102" s="14">
        <v>66.099999999999994</v>
      </c>
      <c r="BQ102" s="14" t="s">
        <v>49</v>
      </c>
      <c r="BR102" s="13">
        <v>40</v>
      </c>
      <c r="BS102" s="14">
        <v>18.5</v>
      </c>
      <c r="BT102" s="14">
        <v>39.200000000000003</v>
      </c>
      <c r="BU102" s="14">
        <v>40.5</v>
      </c>
      <c r="BV102" s="14" t="s">
        <v>477</v>
      </c>
      <c r="BW102" s="13" t="s">
        <v>50</v>
      </c>
      <c r="BX102" s="13" t="s">
        <v>202</v>
      </c>
      <c r="BY102" s="13">
        <v>7</v>
      </c>
      <c r="BZ102" s="14">
        <v>1.01</v>
      </c>
      <c r="CA102" s="14" t="s">
        <v>52</v>
      </c>
      <c r="CB102" s="13" t="s">
        <v>54</v>
      </c>
      <c r="CC102" s="13" t="s">
        <v>478</v>
      </c>
      <c r="CD102" s="13" t="s">
        <v>54</v>
      </c>
      <c r="CE102" s="13" t="s">
        <v>93</v>
      </c>
      <c r="CF102" s="13" t="s">
        <v>339</v>
      </c>
      <c r="CG102" s="13" t="s">
        <v>57</v>
      </c>
      <c r="CH102" s="13" t="s">
        <v>259</v>
      </c>
    </row>
    <row r="103" spans="21:86" x14ac:dyDescent="0.3">
      <c r="U103" s="13" t="s">
        <v>479</v>
      </c>
      <c r="V103" s="13" t="str">
        <f>HYPERLINK("https://diamdna.azureedge.net/imaged/bec-92/still.jpg ","Image")</f>
        <v>Image</v>
      </c>
      <c r="W103" s="13" t="str">
        <f>HYPERLINK("https://diamdna.azureedge.net/Vision360.html?d=bec-92&amp;sr=-30&amp;s=30 ","Video")</f>
        <v>Video</v>
      </c>
      <c r="X103" s="13" t="str">
        <f>HYPERLINK("https://diamdna.azureedge.net/imaged/bec-92/video.mp4 ","Download")</f>
        <v>Download</v>
      </c>
      <c r="Y103" s="13" t="s">
        <v>42</v>
      </c>
      <c r="Z103" s="13" t="str">
        <f>HYPERLINK("https://diamdna.azureedge.net/reports/6542709224.pdf#zoom=150 ","6542709224")</f>
        <v>6542709224</v>
      </c>
      <c r="AA103" s="13" t="s">
        <v>43</v>
      </c>
      <c r="AB103" s="13">
        <v>2</v>
      </c>
      <c r="AC103" s="14" t="s">
        <v>119</v>
      </c>
      <c r="AD103" s="13" t="s">
        <v>133</v>
      </c>
      <c r="AE103" s="13">
        <v>10400</v>
      </c>
      <c r="AF103" s="14">
        <v>20800</v>
      </c>
      <c r="AG103" s="14">
        <v>-55</v>
      </c>
      <c r="AH103" s="14">
        <v>4680</v>
      </c>
      <c r="AI103" s="14">
        <v>9360</v>
      </c>
      <c r="AJ103" s="14" t="s">
        <v>120</v>
      </c>
      <c r="AK103" s="13" t="s">
        <v>46</v>
      </c>
      <c r="AL103" s="13" t="s">
        <v>120</v>
      </c>
      <c r="AM103" s="13" t="s">
        <v>49</v>
      </c>
      <c r="AN103" s="13" t="s">
        <v>480</v>
      </c>
      <c r="AO103" s="13">
        <v>56</v>
      </c>
      <c r="AP103" s="14">
        <v>64.599999999999994</v>
      </c>
      <c r="AQ103" s="14" t="s">
        <v>49</v>
      </c>
      <c r="AR103" s="13">
        <v>38</v>
      </c>
      <c r="AS103" s="14">
        <v>17</v>
      </c>
      <c r="AT103" s="14">
        <v>40.4</v>
      </c>
      <c r="AU103" s="13" t="s">
        <v>479</v>
      </c>
      <c r="AV103" s="13" t="str">
        <f>HYPERLINK("https://diamdna.azureedge.net/imaged/bec-92/still.jpg ","Image")</f>
        <v>Image</v>
      </c>
      <c r="AW103" s="13" t="str">
        <f>HYPERLINK("https://diamdna.azureedge.net/Vision360.html?d=bec-92&amp;sr=-30&amp;s=30 ","Video")</f>
        <v>Video</v>
      </c>
      <c r="AX103" s="13" t="str">
        <f>HYPERLINK("https://diamdna.azureedge.net/imaged/bec-92/video.mp4 ","Download")</f>
        <v>Download</v>
      </c>
      <c r="AY103" s="13" t="s">
        <v>42</v>
      </c>
      <c r="AZ103" s="13" t="str">
        <f>HYPERLINK("https://diamdna.azureedge.net/reports/6542709224.pdf#zoom=150 ","6542709224")</f>
        <v>6542709224</v>
      </c>
      <c r="BA103" s="13" t="s">
        <v>43</v>
      </c>
      <c r="BB103" s="13">
        <v>2</v>
      </c>
      <c r="BC103" s="14" t="s">
        <v>119</v>
      </c>
      <c r="BD103" s="13" t="s">
        <v>133</v>
      </c>
      <c r="BE103" s="13">
        <v>10400</v>
      </c>
      <c r="BF103" s="14">
        <v>20800</v>
      </c>
      <c r="BG103" s="14">
        <v>-55</v>
      </c>
      <c r="BH103" s="14">
        <v>4680</v>
      </c>
      <c r="BI103" s="14">
        <v>9360</v>
      </c>
      <c r="BJ103" s="14" t="s">
        <v>120</v>
      </c>
      <c r="BK103" s="13" t="s">
        <v>46</v>
      </c>
      <c r="BL103" s="13" t="s">
        <v>120</v>
      </c>
      <c r="BM103" s="13" t="s">
        <v>49</v>
      </c>
      <c r="BN103" s="13" t="s">
        <v>480</v>
      </c>
      <c r="BO103" s="13">
        <v>56</v>
      </c>
      <c r="BP103" s="14">
        <v>64.599999999999994</v>
      </c>
      <c r="BQ103" s="14" t="s">
        <v>49</v>
      </c>
      <c r="BR103" s="13">
        <v>38</v>
      </c>
      <c r="BS103" s="14">
        <v>17</v>
      </c>
      <c r="BT103" s="14">
        <v>40.4</v>
      </c>
      <c r="BU103" s="14">
        <v>42.5</v>
      </c>
      <c r="BV103" s="14" t="s">
        <v>481</v>
      </c>
      <c r="BW103" s="13" t="s">
        <v>50</v>
      </c>
      <c r="BX103" s="13" t="s">
        <v>177</v>
      </c>
      <c r="BY103" s="13">
        <v>5</v>
      </c>
      <c r="BZ103" s="14">
        <v>1.01</v>
      </c>
      <c r="CA103" s="14" t="s">
        <v>99</v>
      </c>
      <c r="CB103" s="13" t="s">
        <v>128</v>
      </c>
      <c r="CC103" s="13" t="s">
        <v>387</v>
      </c>
      <c r="CD103" s="13" t="s">
        <v>54</v>
      </c>
      <c r="CE103" s="13" t="s">
        <v>93</v>
      </c>
      <c r="CF103" s="13" t="s">
        <v>339</v>
      </c>
      <c r="CG103" s="13" t="s">
        <v>57</v>
      </c>
      <c r="CH103" s="13" t="s">
        <v>435</v>
      </c>
    </row>
    <row r="104" spans="21:86" x14ac:dyDescent="0.3">
      <c r="U104" s="13" t="s">
        <v>482</v>
      </c>
      <c r="V104" s="13" t="str">
        <f>HYPERLINK("https://diamdna.azureedge.net/imaged/bec-86/still.jpg ","Image")</f>
        <v>Image</v>
      </c>
      <c r="W104" s="13" t="str">
        <f>HYPERLINK("https://diamdna.azureedge.net/Vision360.html?d=bec-86&amp;sr=-30&amp;s=30 ","Video")</f>
        <v>Video</v>
      </c>
      <c r="X104" s="13" t="str">
        <f>HYPERLINK("https://diamdna.azureedge.net/imaged/bec-86/video.mp4 ","Download")</f>
        <v>Download</v>
      </c>
      <c r="Y104" s="13" t="s">
        <v>163</v>
      </c>
      <c r="Z104" s="13" t="str">
        <f>HYPERLINK("https://diamdna.azureedge.net/reports/260000057089.pdf#zoom=150 ","260000057089")</f>
        <v>260000057089</v>
      </c>
      <c r="AA104" s="13" t="s">
        <v>43</v>
      </c>
      <c r="AB104" s="13">
        <v>2</v>
      </c>
      <c r="AC104" s="14" t="s">
        <v>119</v>
      </c>
      <c r="AD104" s="13" t="s">
        <v>60</v>
      </c>
      <c r="AE104" s="13">
        <v>8600</v>
      </c>
      <c r="AF104" s="14">
        <v>17200</v>
      </c>
      <c r="AG104" s="14">
        <v>-71.5</v>
      </c>
      <c r="AH104" s="14">
        <v>2451</v>
      </c>
      <c r="AI104" s="14">
        <v>4902</v>
      </c>
      <c r="AJ104" s="14" t="s">
        <v>374</v>
      </c>
      <c r="AK104" s="13" t="s">
        <v>46</v>
      </c>
      <c r="AL104" s="13" t="s">
        <v>46</v>
      </c>
      <c r="AM104" s="13" t="s">
        <v>49</v>
      </c>
      <c r="AN104" s="13" t="s">
        <v>483</v>
      </c>
      <c r="AO104" s="13">
        <v>58</v>
      </c>
      <c r="AP104" s="14">
        <v>65.400000000000006</v>
      </c>
      <c r="AQ104" s="14" t="s">
        <v>165</v>
      </c>
      <c r="AR104" s="13">
        <v>39.9</v>
      </c>
      <c r="AS104" s="14">
        <v>17.5</v>
      </c>
      <c r="AT104" s="14">
        <v>39.6</v>
      </c>
      <c r="AU104" s="13" t="s">
        <v>482</v>
      </c>
      <c r="AV104" s="13" t="str">
        <f>HYPERLINK("https://diamdna.azureedge.net/imaged/bec-86/still.jpg ","Image")</f>
        <v>Image</v>
      </c>
      <c r="AW104" s="13" t="str">
        <f>HYPERLINK("https://diamdna.azureedge.net/Vision360.html?d=bec-86&amp;sr=-30&amp;s=30 ","Video")</f>
        <v>Video</v>
      </c>
      <c r="AX104" s="13" t="str">
        <f>HYPERLINK("https://diamdna.azureedge.net/imaged/bec-86/video.mp4 ","Download")</f>
        <v>Download</v>
      </c>
      <c r="AY104" s="13" t="s">
        <v>163</v>
      </c>
      <c r="AZ104" s="13" t="str">
        <f>HYPERLINK("https://diamdna.azureedge.net/reports/260000057089.pdf#zoom=150 ","260000057089")</f>
        <v>260000057089</v>
      </c>
      <c r="BA104" s="13" t="s">
        <v>43</v>
      </c>
      <c r="BB104" s="13">
        <v>2</v>
      </c>
      <c r="BC104" s="14" t="s">
        <v>119</v>
      </c>
      <c r="BD104" s="13" t="s">
        <v>60</v>
      </c>
      <c r="BE104" s="13">
        <v>8600</v>
      </c>
      <c r="BF104" s="14">
        <v>17200</v>
      </c>
      <c r="BG104" s="14">
        <v>-71.5</v>
      </c>
      <c r="BH104" s="14">
        <v>2451</v>
      </c>
      <c r="BI104" s="14">
        <v>4902</v>
      </c>
      <c r="BJ104" s="14" t="s">
        <v>374</v>
      </c>
      <c r="BK104" s="13" t="s">
        <v>46</v>
      </c>
      <c r="BL104" s="13" t="s">
        <v>46</v>
      </c>
      <c r="BM104" s="13" t="s">
        <v>49</v>
      </c>
      <c r="BN104" s="13" t="s">
        <v>483</v>
      </c>
      <c r="BO104" s="13">
        <v>58</v>
      </c>
      <c r="BP104" s="14">
        <v>65.400000000000006</v>
      </c>
      <c r="BQ104" s="14" t="s">
        <v>165</v>
      </c>
      <c r="BR104" s="13">
        <v>39.9</v>
      </c>
      <c r="BS104" s="14">
        <v>17.5</v>
      </c>
      <c r="BT104" s="14">
        <v>39.6</v>
      </c>
      <c r="BU104" s="14">
        <v>41.5</v>
      </c>
      <c r="BV104" s="14"/>
      <c r="BW104" s="13" t="s">
        <v>50</v>
      </c>
      <c r="BX104" s="13" t="s">
        <v>364</v>
      </c>
      <c r="BY104" s="13">
        <v>6.5</v>
      </c>
      <c r="BZ104" s="14">
        <v>1.01</v>
      </c>
      <c r="CA104" s="14" t="s">
        <v>108</v>
      </c>
      <c r="CB104" s="13" t="s">
        <v>54</v>
      </c>
      <c r="CC104" s="13"/>
      <c r="CD104" s="13" t="s">
        <v>54</v>
      </c>
      <c r="CE104" s="13" t="s">
        <v>93</v>
      </c>
      <c r="CF104" s="13" t="s">
        <v>339</v>
      </c>
      <c r="CG104" s="13" t="s">
        <v>57</v>
      </c>
      <c r="CH104" s="13" t="s">
        <v>484</v>
      </c>
    </row>
    <row r="105" spans="21:86" x14ac:dyDescent="0.3">
      <c r="U105" s="13" t="s">
        <v>485</v>
      </c>
      <c r="V105" s="13" t="str">
        <f>HYPERLINK("https://diamdna.azureedge.net/imaged/bdq-52/still.jpg ","Image")</f>
        <v>Image</v>
      </c>
      <c r="W105" s="13" t="str">
        <f>HYPERLINK("https://diamdna.azureedge.net/Vision360.html?d=bdq-52&amp;sr=-30&amp;s=30 ","Video")</f>
        <v>Video</v>
      </c>
      <c r="X105" s="13" t="str">
        <f>HYPERLINK("https://diamdna.azureedge.net/imaged/bdq-52/video.mp4 ","Download")</f>
        <v>Download</v>
      </c>
      <c r="Y105" s="13" t="s">
        <v>42</v>
      </c>
      <c r="Z105" s="13" t="str">
        <f>HYPERLINK("https://diamdna.azureedge.net/reports/7546504468.pdf#zoom=150 ","7546504468")</f>
        <v>7546504468</v>
      </c>
      <c r="AA105" s="13" t="s">
        <v>43</v>
      </c>
      <c r="AB105" s="13">
        <v>2</v>
      </c>
      <c r="AC105" s="14" t="s">
        <v>119</v>
      </c>
      <c r="AD105" s="13" t="s">
        <v>60</v>
      </c>
      <c r="AE105" s="13">
        <v>8600</v>
      </c>
      <c r="AF105" s="14">
        <v>17200</v>
      </c>
      <c r="AG105" s="14">
        <v>-62.5</v>
      </c>
      <c r="AH105" s="14">
        <v>3225</v>
      </c>
      <c r="AI105" s="14">
        <v>6450</v>
      </c>
      <c r="AJ105" s="14" t="s">
        <v>374</v>
      </c>
      <c r="AK105" s="13" t="s">
        <v>120</v>
      </c>
      <c r="AL105" s="13" t="s">
        <v>120</v>
      </c>
      <c r="AM105" s="13" t="s">
        <v>49</v>
      </c>
      <c r="AN105" s="13" t="s">
        <v>486</v>
      </c>
      <c r="AO105" s="13">
        <v>55</v>
      </c>
      <c r="AP105" s="14">
        <v>64.8</v>
      </c>
      <c r="AQ105" s="14" t="s">
        <v>49</v>
      </c>
      <c r="AR105" s="13">
        <v>39</v>
      </c>
      <c r="AS105" s="14">
        <v>18.5</v>
      </c>
      <c r="AT105" s="14">
        <v>39</v>
      </c>
      <c r="AU105" s="13" t="s">
        <v>485</v>
      </c>
      <c r="AV105" s="13" t="str">
        <f>HYPERLINK("https://diamdna.azureedge.net/imaged/bdq-52/still.jpg ","Image")</f>
        <v>Image</v>
      </c>
      <c r="AW105" s="13" t="str">
        <f>HYPERLINK("https://diamdna.azureedge.net/Vision360.html?d=bdq-52&amp;sr=-30&amp;s=30 ","Video")</f>
        <v>Video</v>
      </c>
      <c r="AX105" s="13" t="str">
        <f>HYPERLINK("https://diamdna.azureedge.net/imaged/bdq-52/video.mp4 ","Download")</f>
        <v>Download</v>
      </c>
      <c r="AY105" s="13" t="s">
        <v>42</v>
      </c>
      <c r="AZ105" s="13" t="str">
        <f>HYPERLINK("https://diamdna.azureedge.net/reports/7546504468.pdf#zoom=150 ","7546504468")</f>
        <v>7546504468</v>
      </c>
      <c r="BA105" s="13" t="s">
        <v>43</v>
      </c>
      <c r="BB105" s="13">
        <v>2</v>
      </c>
      <c r="BC105" s="14" t="s">
        <v>119</v>
      </c>
      <c r="BD105" s="13" t="s">
        <v>60</v>
      </c>
      <c r="BE105" s="13">
        <v>8600</v>
      </c>
      <c r="BF105" s="14">
        <v>17200</v>
      </c>
      <c r="BG105" s="14">
        <v>-62.5</v>
      </c>
      <c r="BH105" s="14">
        <v>3225</v>
      </c>
      <c r="BI105" s="14">
        <v>6450</v>
      </c>
      <c r="BJ105" s="14" t="s">
        <v>374</v>
      </c>
      <c r="BK105" s="13" t="s">
        <v>120</v>
      </c>
      <c r="BL105" s="13" t="s">
        <v>120</v>
      </c>
      <c r="BM105" s="13" t="s">
        <v>49</v>
      </c>
      <c r="BN105" s="13" t="s">
        <v>486</v>
      </c>
      <c r="BO105" s="13">
        <v>55</v>
      </c>
      <c r="BP105" s="14">
        <v>64.8</v>
      </c>
      <c r="BQ105" s="14" t="s">
        <v>49</v>
      </c>
      <c r="BR105" s="13">
        <v>39</v>
      </c>
      <c r="BS105" s="14">
        <v>18.5</v>
      </c>
      <c r="BT105" s="14">
        <v>39</v>
      </c>
      <c r="BU105" s="14">
        <v>40.5</v>
      </c>
      <c r="BV105" s="14" t="s">
        <v>487</v>
      </c>
      <c r="BW105" s="13" t="s">
        <v>50</v>
      </c>
      <c r="BX105" s="13" t="s">
        <v>357</v>
      </c>
      <c r="BY105" s="13">
        <v>6</v>
      </c>
      <c r="BZ105" s="14">
        <v>1.01</v>
      </c>
      <c r="CA105" s="14" t="s">
        <v>137</v>
      </c>
      <c r="CB105" s="13" t="s">
        <v>54</v>
      </c>
      <c r="CC105" s="13" t="s">
        <v>387</v>
      </c>
      <c r="CD105" s="13" t="s">
        <v>54</v>
      </c>
      <c r="CE105" s="13" t="s">
        <v>93</v>
      </c>
      <c r="CF105" s="13" t="s">
        <v>339</v>
      </c>
      <c r="CG105" s="13" t="s">
        <v>57</v>
      </c>
      <c r="CH105" s="13" t="s">
        <v>488</v>
      </c>
    </row>
    <row r="106" spans="21:86" x14ac:dyDescent="0.3">
      <c r="U106" s="13" t="s">
        <v>489</v>
      </c>
      <c r="V106" s="13" t="str">
        <f>HYPERLINK("https://diamdna.azureedge.net/imaged/bec-103/still.jpg ","Image")</f>
        <v>Image</v>
      </c>
      <c r="W106" s="13" t="str">
        <f>HYPERLINK("https://diamdna.azureedge.net/Vision360.html?d=bec-103&amp;sr=-30&amp;s=30 ","Video")</f>
        <v>Video</v>
      </c>
      <c r="X106" s="13" t="str">
        <f>HYPERLINK("https://diamdna.azureedge.net/imaged/bec-103/video.mp4 ","Download")</f>
        <v>Download</v>
      </c>
      <c r="Y106" s="13" t="s">
        <v>163</v>
      </c>
      <c r="Z106" s="13" t="str">
        <f>HYPERLINK("https://diamdna.azureedge.net/reports/260000057090.pdf#zoom=150 ","260000057090")</f>
        <v>260000057090</v>
      </c>
      <c r="AA106" s="13" t="s">
        <v>43</v>
      </c>
      <c r="AB106" s="13">
        <v>2</v>
      </c>
      <c r="AC106" s="14" t="s">
        <v>119</v>
      </c>
      <c r="AD106" s="13" t="s">
        <v>60</v>
      </c>
      <c r="AE106" s="13">
        <v>8600</v>
      </c>
      <c r="AF106" s="14">
        <v>17200</v>
      </c>
      <c r="AG106" s="14">
        <v>-71.5</v>
      </c>
      <c r="AH106" s="14">
        <v>2451</v>
      </c>
      <c r="AI106" s="14">
        <v>4902</v>
      </c>
      <c r="AJ106" s="14" t="s">
        <v>374</v>
      </c>
      <c r="AK106" s="13" t="s">
        <v>120</v>
      </c>
      <c r="AL106" s="13" t="s">
        <v>120</v>
      </c>
      <c r="AM106" s="13" t="s">
        <v>49</v>
      </c>
      <c r="AN106" s="13" t="s">
        <v>490</v>
      </c>
      <c r="AO106" s="13">
        <v>57</v>
      </c>
      <c r="AP106" s="14">
        <v>65.5</v>
      </c>
      <c r="AQ106" s="14" t="s">
        <v>165</v>
      </c>
      <c r="AR106" s="13">
        <v>40</v>
      </c>
      <c r="AS106" s="14">
        <v>18</v>
      </c>
      <c r="AT106" s="14">
        <v>39.299999999999997</v>
      </c>
      <c r="AU106" s="13" t="s">
        <v>489</v>
      </c>
      <c r="AV106" s="13" t="str">
        <f>HYPERLINK("https://diamdna.azureedge.net/imaged/bec-103/still.jpg ","Image")</f>
        <v>Image</v>
      </c>
      <c r="AW106" s="13" t="str">
        <f>HYPERLINK("https://diamdna.azureedge.net/Vision360.html?d=bec-103&amp;sr=-30&amp;s=30 ","Video")</f>
        <v>Video</v>
      </c>
      <c r="AX106" s="13" t="str">
        <f>HYPERLINK("https://diamdna.azureedge.net/imaged/bec-103/video.mp4 ","Download")</f>
        <v>Download</v>
      </c>
      <c r="AY106" s="13" t="s">
        <v>163</v>
      </c>
      <c r="AZ106" s="13" t="str">
        <f>HYPERLINK("https://diamdna.azureedge.net/reports/260000057090.pdf#zoom=150 ","260000057090")</f>
        <v>260000057090</v>
      </c>
      <c r="BA106" s="13" t="s">
        <v>43</v>
      </c>
      <c r="BB106" s="13">
        <v>2</v>
      </c>
      <c r="BC106" s="14" t="s">
        <v>119</v>
      </c>
      <c r="BD106" s="13" t="s">
        <v>60</v>
      </c>
      <c r="BE106" s="13">
        <v>8600</v>
      </c>
      <c r="BF106" s="14">
        <v>17200</v>
      </c>
      <c r="BG106" s="14">
        <v>-71.5</v>
      </c>
      <c r="BH106" s="14">
        <v>2451</v>
      </c>
      <c r="BI106" s="14">
        <v>4902</v>
      </c>
      <c r="BJ106" s="14" t="s">
        <v>374</v>
      </c>
      <c r="BK106" s="13" t="s">
        <v>120</v>
      </c>
      <c r="BL106" s="13" t="s">
        <v>120</v>
      </c>
      <c r="BM106" s="13" t="s">
        <v>49</v>
      </c>
      <c r="BN106" s="13" t="s">
        <v>490</v>
      </c>
      <c r="BO106" s="13">
        <v>57</v>
      </c>
      <c r="BP106" s="14">
        <v>65.5</v>
      </c>
      <c r="BQ106" s="14" t="s">
        <v>165</v>
      </c>
      <c r="BR106" s="13">
        <v>40</v>
      </c>
      <c r="BS106" s="14">
        <v>18</v>
      </c>
      <c r="BT106" s="14">
        <v>39.299999999999997</v>
      </c>
      <c r="BU106" s="14">
        <v>41</v>
      </c>
      <c r="BV106" s="14"/>
      <c r="BW106" s="13" t="s">
        <v>50</v>
      </c>
      <c r="BX106" s="13" t="s">
        <v>364</v>
      </c>
      <c r="BY106" s="13">
        <v>7</v>
      </c>
      <c r="BZ106" s="14">
        <v>1.01</v>
      </c>
      <c r="CA106" s="14" t="s">
        <v>99</v>
      </c>
      <c r="CB106" s="13" t="s">
        <v>54</v>
      </c>
      <c r="CC106" s="13"/>
      <c r="CD106" s="13" t="s">
        <v>54</v>
      </c>
      <c r="CE106" s="13" t="s">
        <v>93</v>
      </c>
      <c r="CF106" s="13" t="s">
        <v>339</v>
      </c>
      <c r="CG106" s="13" t="s">
        <v>57</v>
      </c>
      <c r="CH106" s="13" t="s">
        <v>491</v>
      </c>
    </row>
    <row r="107" spans="21:86" x14ac:dyDescent="0.3">
      <c r="U107" s="13" t="s">
        <v>492</v>
      </c>
      <c r="V107" s="13" t="str">
        <f>HYPERLINK("https://diamdna.azureedge.net/imaged/bei-8/still.jpg ","Image")</f>
        <v>Image</v>
      </c>
      <c r="W107" s="13" t="str">
        <f>HYPERLINK("https://diamdna.azureedge.net/Vision360.html?d=bei-8&amp;sr=-30&amp;s=30 ","Video")</f>
        <v>Video</v>
      </c>
      <c r="X107" s="13" t="str">
        <f>HYPERLINK("https://diamdna.azureedge.net/imaged/bei-8/video.mp4 ","Download")</f>
        <v>Download</v>
      </c>
      <c r="Y107" s="13" t="s">
        <v>42</v>
      </c>
      <c r="Z107" s="13" t="str">
        <f>HYPERLINK("https://diamdna.azureedge.net/reports/5546949251.pdf#zoom=150 ","5546949251")</f>
        <v>5546949251</v>
      </c>
      <c r="AA107" s="13" t="s">
        <v>43</v>
      </c>
      <c r="AB107" s="13">
        <v>2</v>
      </c>
      <c r="AC107" s="14" t="s">
        <v>69</v>
      </c>
      <c r="AD107" s="13" t="s">
        <v>125</v>
      </c>
      <c r="AE107" s="13">
        <v>11000</v>
      </c>
      <c r="AF107" s="14">
        <v>22000</v>
      </c>
      <c r="AG107" s="14">
        <v>-50</v>
      </c>
      <c r="AH107" s="14">
        <v>5500</v>
      </c>
      <c r="AI107" s="14">
        <v>11000</v>
      </c>
      <c r="AJ107" s="14" t="s">
        <v>120</v>
      </c>
      <c r="AK107" s="13" t="s">
        <v>46</v>
      </c>
      <c r="AL107" s="13" t="s">
        <v>120</v>
      </c>
      <c r="AM107" s="13" t="s">
        <v>49</v>
      </c>
      <c r="AN107" s="13" t="s">
        <v>493</v>
      </c>
      <c r="AO107" s="13">
        <v>56</v>
      </c>
      <c r="AP107" s="14">
        <v>65.099999999999994</v>
      </c>
      <c r="AQ107" s="14" t="s">
        <v>49</v>
      </c>
      <c r="AR107" s="13">
        <v>38.5</v>
      </c>
      <c r="AS107" s="14">
        <v>17.5</v>
      </c>
      <c r="AT107" s="14">
        <v>40.200000000000003</v>
      </c>
      <c r="AU107" s="13" t="s">
        <v>492</v>
      </c>
      <c r="AV107" s="13" t="str">
        <f>HYPERLINK("https://diamdna.azureedge.net/imaged/bei-8/still.jpg ","Image")</f>
        <v>Image</v>
      </c>
      <c r="AW107" s="13" t="str">
        <f>HYPERLINK("https://diamdna.azureedge.net/Vision360.html?d=bei-8&amp;sr=-30&amp;s=30 ","Video")</f>
        <v>Video</v>
      </c>
      <c r="AX107" s="13" t="str">
        <f>HYPERLINK("https://diamdna.azureedge.net/imaged/bei-8/video.mp4 ","Download")</f>
        <v>Download</v>
      </c>
      <c r="AY107" s="13" t="s">
        <v>42</v>
      </c>
      <c r="AZ107" s="13" t="str">
        <f>HYPERLINK("https://diamdna.azureedge.net/reports/5546949251.pdf#zoom=150 ","5546949251")</f>
        <v>5546949251</v>
      </c>
      <c r="BA107" s="13" t="s">
        <v>43</v>
      </c>
      <c r="BB107" s="13">
        <v>2</v>
      </c>
      <c r="BC107" s="14" t="s">
        <v>69</v>
      </c>
      <c r="BD107" s="13" t="s">
        <v>125</v>
      </c>
      <c r="BE107" s="13">
        <v>11000</v>
      </c>
      <c r="BF107" s="14">
        <v>22000</v>
      </c>
      <c r="BG107" s="14">
        <v>-50</v>
      </c>
      <c r="BH107" s="14">
        <v>5500</v>
      </c>
      <c r="BI107" s="14">
        <v>11000</v>
      </c>
      <c r="BJ107" s="14" t="s">
        <v>120</v>
      </c>
      <c r="BK107" s="13" t="s">
        <v>46</v>
      </c>
      <c r="BL107" s="13" t="s">
        <v>120</v>
      </c>
      <c r="BM107" s="13" t="s">
        <v>49</v>
      </c>
      <c r="BN107" s="13" t="s">
        <v>493</v>
      </c>
      <c r="BO107" s="13">
        <v>56</v>
      </c>
      <c r="BP107" s="14">
        <v>65.099999999999994</v>
      </c>
      <c r="BQ107" s="14" t="s">
        <v>49</v>
      </c>
      <c r="BR107" s="13">
        <v>38.5</v>
      </c>
      <c r="BS107" s="14">
        <v>17.5</v>
      </c>
      <c r="BT107" s="14">
        <v>40.200000000000003</v>
      </c>
      <c r="BU107" s="14">
        <v>42.5</v>
      </c>
      <c r="BV107" s="14" t="s">
        <v>494</v>
      </c>
      <c r="BW107" s="13" t="s">
        <v>50</v>
      </c>
      <c r="BX107" s="13" t="s">
        <v>72</v>
      </c>
      <c r="BY107" s="13">
        <v>5</v>
      </c>
      <c r="BZ107" s="14">
        <v>1.01</v>
      </c>
      <c r="CA107" s="14" t="s">
        <v>52</v>
      </c>
      <c r="CB107" s="13" t="s">
        <v>54</v>
      </c>
      <c r="CC107" s="13" t="s">
        <v>495</v>
      </c>
      <c r="CD107" s="13" t="s">
        <v>54</v>
      </c>
      <c r="CE107" s="13" t="s">
        <v>83</v>
      </c>
      <c r="CF107" s="13" t="s">
        <v>339</v>
      </c>
      <c r="CG107" s="13" t="s">
        <v>57</v>
      </c>
      <c r="CH107" s="13" t="s">
        <v>212</v>
      </c>
    </row>
    <row r="108" spans="21:86" x14ac:dyDescent="0.3">
      <c r="U108" s="13" t="s">
        <v>496</v>
      </c>
      <c r="V108" s="13" t="str">
        <f>HYPERLINK("https://diamdna.azureedge.net/imaged/lr25-7/still.jpg ","Image")</f>
        <v>Image</v>
      </c>
      <c r="W108" s="13" t="str">
        <f>HYPERLINK("https://diamdna.azureedge.net/Vision360.html?d=lr25-7&amp;sr=-30&amp;s=30 ","Video")</f>
        <v>Video</v>
      </c>
      <c r="X108" s="13" t="str">
        <f>HYPERLINK("https://diamdna.azureedge.net/imaged/lr25-7/video.mp4 ","Download")</f>
        <v>Download</v>
      </c>
      <c r="Y108" s="13" t="s">
        <v>76</v>
      </c>
      <c r="Z108" s="13" t="str">
        <f>HYPERLINK("https://diamdna.azureedge.net/reports/766691576.pdf#zoom=150 ","766691576")</f>
        <v>766691576</v>
      </c>
      <c r="AA108" s="13" t="s">
        <v>43</v>
      </c>
      <c r="AB108" s="13">
        <v>2</v>
      </c>
      <c r="AC108" s="14" t="s">
        <v>69</v>
      </c>
      <c r="AD108" s="13" t="s">
        <v>104</v>
      </c>
      <c r="AE108" s="13">
        <v>10000</v>
      </c>
      <c r="AF108" s="14">
        <v>20000</v>
      </c>
      <c r="AG108" s="14">
        <v>-69</v>
      </c>
      <c r="AH108" s="14">
        <v>3100</v>
      </c>
      <c r="AI108" s="14">
        <v>6200</v>
      </c>
      <c r="AJ108" s="14" t="s">
        <v>46</v>
      </c>
      <c r="AK108" s="13" t="s">
        <v>46</v>
      </c>
      <c r="AL108" s="13" t="s">
        <v>46</v>
      </c>
      <c r="AM108" s="13" t="s">
        <v>87</v>
      </c>
      <c r="AN108" s="13" t="s">
        <v>497</v>
      </c>
      <c r="AO108" s="13">
        <v>55</v>
      </c>
      <c r="AP108" s="14">
        <v>63.3</v>
      </c>
      <c r="AQ108" s="14" t="s">
        <v>80</v>
      </c>
      <c r="AR108" s="13">
        <v>36.5</v>
      </c>
      <c r="AS108" s="14">
        <v>16.5</v>
      </c>
      <c r="AT108" s="14">
        <v>41</v>
      </c>
      <c r="AU108" s="13" t="s">
        <v>496</v>
      </c>
      <c r="AV108" s="13" t="str">
        <f>HYPERLINK("https://diamdna.azureedge.net/imaged/lr25-7/still.jpg ","Image")</f>
        <v>Image</v>
      </c>
      <c r="AW108" s="13" t="str">
        <f>HYPERLINK("https://diamdna.azureedge.net/Vision360.html?d=lr25-7&amp;sr=-30&amp;s=30 ","Video")</f>
        <v>Video</v>
      </c>
      <c r="AX108" s="13" t="str">
        <f>HYPERLINK("https://diamdna.azureedge.net/imaged/lr25-7/video.mp4 ","Download")</f>
        <v>Download</v>
      </c>
      <c r="AY108" s="13" t="s">
        <v>76</v>
      </c>
      <c r="AZ108" s="13" t="str">
        <f>HYPERLINK("https://diamdna.azureedge.net/reports/766691576.pdf#zoom=150 ","766691576")</f>
        <v>766691576</v>
      </c>
      <c r="BA108" s="13" t="s">
        <v>43</v>
      </c>
      <c r="BB108" s="13">
        <v>2</v>
      </c>
      <c r="BC108" s="14" t="s">
        <v>69</v>
      </c>
      <c r="BD108" s="13" t="s">
        <v>104</v>
      </c>
      <c r="BE108" s="13">
        <v>10000</v>
      </c>
      <c r="BF108" s="14">
        <v>20000</v>
      </c>
      <c r="BG108" s="14">
        <v>-69</v>
      </c>
      <c r="BH108" s="14">
        <v>3100</v>
      </c>
      <c r="BI108" s="14">
        <v>6200</v>
      </c>
      <c r="BJ108" s="14" t="s">
        <v>46</v>
      </c>
      <c r="BK108" s="13" t="s">
        <v>46</v>
      </c>
      <c r="BL108" s="13" t="s">
        <v>46</v>
      </c>
      <c r="BM108" s="13" t="s">
        <v>87</v>
      </c>
      <c r="BN108" s="13" t="s">
        <v>497</v>
      </c>
      <c r="BO108" s="13">
        <v>55</v>
      </c>
      <c r="BP108" s="14">
        <v>63.3</v>
      </c>
      <c r="BQ108" s="14" t="s">
        <v>80</v>
      </c>
      <c r="BR108" s="13">
        <v>36.5</v>
      </c>
      <c r="BS108" s="14">
        <v>16.5</v>
      </c>
      <c r="BT108" s="14">
        <v>41</v>
      </c>
      <c r="BU108" s="14">
        <v>43.5</v>
      </c>
      <c r="BV108" s="14"/>
      <c r="BW108" s="13" t="s">
        <v>50</v>
      </c>
      <c r="BX108" s="13" t="s">
        <v>51</v>
      </c>
      <c r="BY108" s="13">
        <v>3.5</v>
      </c>
      <c r="BZ108" s="14">
        <v>1.01</v>
      </c>
      <c r="CA108" s="14" t="s">
        <v>99</v>
      </c>
      <c r="CB108" s="13" t="s">
        <v>128</v>
      </c>
      <c r="CC108" s="13" t="s">
        <v>82</v>
      </c>
      <c r="CD108" s="13" t="s">
        <v>54</v>
      </c>
      <c r="CE108" s="13" t="s">
        <v>100</v>
      </c>
      <c r="CF108" s="13" t="s">
        <v>56</v>
      </c>
      <c r="CG108" s="13" t="s">
        <v>57</v>
      </c>
      <c r="CH108" s="13" t="s">
        <v>111</v>
      </c>
    </row>
    <row r="109" spans="21:86" x14ac:dyDescent="0.3">
      <c r="U109" s="13" t="s">
        <v>498</v>
      </c>
      <c r="V109" s="13" t="str">
        <f>HYPERLINK("https://diamdna.azureedge.net/imaged/lv25-7/still.jpg ","Image")</f>
        <v>Image</v>
      </c>
      <c r="W109" s="13" t="str">
        <f>HYPERLINK("https://diamdna.azureedge.net/Vision360.html?d=lv25-7&amp;sr=-30&amp;s=30 ","Video")</f>
        <v>Video</v>
      </c>
      <c r="X109" s="13" t="str">
        <f>HYPERLINK("https://diamdna.azureedge.net/imaged/lv25-7/video.mp4 ","Download")</f>
        <v>Download</v>
      </c>
      <c r="Y109" s="13" t="s">
        <v>42</v>
      </c>
      <c r="Z109" s="13" t="str">
        <f>HYPERLINK("https://diamdna.azureedge.net/reports/2547545638.pdf#zoom=150 ","2547545638")</f>
        <v>2547545638</v>
      </c>
      <c r="AA109" s="13" t="s">
        <v>43</v>
      </c>
      <c r="AB109" s="13">
        <v>2</v>
      </c>
      <c r="AC109" s="14" t="s">
        <v>69</v>
      </c>
      <c r="AD109" s="13" t="s">
        <v>78</v>
      </c>
      <c r="AE109" s="13">
        <v>9300</v>
      </c>
      <c r="AF109" s="14">
        <v>18600</v>
      </c>
      <c r="AG109" s="14">
        <v>-54.5</v>
      </c>
      <c r="AH109" s="14">
        <v>4231.5</v>
      </c>
      <c r="AI109" s="14">
        <v>8463</v>
      </c>
      <c r="AJ109" s="14" t="s">
        <v>120</v>
      </c>
      <c r="AK109" s="13" t="s">
        <v>46</v>
      </c>
      <c r="AL109" s="13" t="s">
        <v>120</v>
      </c>
      <c r="AM109" s="13" t="s">
        <v>49</v>
      </c>
      <c r="AN109" s="13" t="s">
        <v>499</v>
      </c>
      <c r="AO109" s="13">
        <v>55</v>
      </c>
      <c r="AP109" s="14">
        <v>65</v>
      </c>
      <c r="AQ109" s="14" t="s">
        <v>49</v>
      </c>
      <c r="AR109" s="13">
        <v>38</v>
      </c>
      <c r="AS109" s="14">
        <v>18</v>
      </c>
      <c r="AT109" s="14">
        <v>39.799999999999997</v>
      </c>
      <c r="AU109" s="13" t="s">
        <v>498</v>
      </c>
      <c r="AV109" s="13" t="str">
        <f>HYPERLINK("https://diamdna.azureedge.net/imaged/lv25-7/still.jpg ","Image")</f>
        <v>Image</v>
      </c>
      <c r="AW109" s="13" t="str">
        <f>HYPERLINK("https://diamdna.azureedge.net/Vision360.html?d=lv25-7&amp;sr=-30&amp;s=30 ","Video")</f>
        <v>Video</v>
      </c>
      <c r="AX109" s="13" t="str">
        <f>HYPERLINK("https://diamdna.azureedge.net/imaged/lv25-7/video.mp4 ","Download")</f>
        <v>Download</v>
      </c>
      <c r="AY109" s="13" t="s">
        <v>42</v>
      </c>
      <c r="AZ109" s="13" t="str">
        <f>HYPERLINK("https://diamdna.azureedge.net/reports/2547545638.pdf#zoom=150 ","2547545638")</f>
        <v>2547545638</v>
      </c>
      <c r="BA109" s="13" t="s">
        <v>43</v>
      </c>
      <c r="BB109" s="13">
        <v>2</v>
      </c>
      <c r="BC109" s="14" t="s">
        <v>69</v>
      </c>
      <c r="BD109" s="13" t="s">
        <v>78</v>
      </c>
      <c r="BE109" s="13">
        <v>9300</v>
      </c>
      <c r="BF109" s="14">
        <v>18600</v>
      </c>
      <c r="BG109" s="14">
        <v>-54.5</v>
      </c>
      <c r="BH109" s="14">
        <v>4231.5</v>
      </c>
      <c r="BI109" s="14">
        <v>8463</v>
      </c>
      <c r="BJ109" s="14" t="s">
        <v>120</v>
      </c>
      <c r="BK109" s="13" t="s">
        <v>46</v>
      </c>
      <c r="BL109" s="13" t="s">
        <v>120</v>
      </c>
      <c r="BM109" s="13" t="s">
        <v>49</v>
      </c>
      <c r="BN109" s="13" t="s">
        <v>499</v>
      </c>
      <c r="BO109" s="13">
        <v>55</v>
      </c>
      <c r="BP109" s="14">
        <v>65</v>
      </c>
      <c r="BQ109" s="14" t="s">
        <v>49</v>
      </c>
      <c r="BR109" s="13">
        <v>38</v>
      </c>
      <c r="BS109" s="14">
        <v>18</v>
      </c>
      <c r="BT109" s="14">
        <v>39.799999999999997</v>
      </c>
      <c r="BU109" s="14">
        <v>41.5</v>
      </c>
      <c r="BV109" s="14" t="s">
        <v>500</v>
      </c>
      <c r="BW109" s="13" t="s">
        <v>50</v>
      </c>
      <c r="BX109" s="13" t="s">
        <v>177</v>
      </c>
      <c r="BY109" s="13">
        <v>5.5</v>
      </c>
      <c r="BZ109" s="14">
        <v>1.01</v>
      </c>
      <c r="CA109" s="14" t="s">
        <v>99</v>
      </c>
      <c r="CB109" s="13" t="s">
        <v>128</v>
      </c>
      <c r="CC109" s="13" t="s">
        <v>501</v>
      </c>
      <c r="CD109" s="13" t="s">
        <v>54</v>
      </c>
      <c r="CE109" s="13" t="s">
        <v>93</v>
      </c>
      <c r="CF109" s="13" t="s">
        <v>56</v>
      </c>
      <c r="CG109" s="13" t="s">
        <v>57</v>
      </c>
      <c r="CH109" s="13" t="s">
        <v>502</v>
      </c>
    </row>
    <row r="110" spans="21:86" x14ac:dyDescent="0.3">
      <c r="U110" s="13" t="s">
        <v>503</v>
      </c>
      <c r="V110" s="13" t="str">
        <f>HYPERLINK("https://diamdna.azureedge.net/imaged/bdq-68/still.jpg ","Image")</f>
        <v>Image</v>
      </c>
      <c r="W110" s="13" t="str">
        <f>HYPERLINK("https://diamdna.azureedge.net/Vision360.html?d=bdq-68&amp;sr=-30&amp;s=30 ","Video")</f>
        <v>Video</v>
      </c>
      <c r="X110" s="13" t="str">
        <f>HYPERLINK("https://diamdna.azureedge.net/imaged/bdq-68/video.mp4 ","Download")</f>
        <v>Download</v>
      </c>
      <c r="Y110" s="13" t="s">
        <v>42</v>
      </c>
      <c r="Z110" s="13" t="str">
        <f>HYPERLINK("https://diamdna.azureedge.net/reports/6542537858.pdf#zoom=150 ","6542537858")</f>
        <v>6542537858</v>
      </c>
      <c r="AA110" s="13" t="s">
        <v>43</v>
      </c>
      <c r="AB110" s="13">
        <v>2</v>
      </c>
      <c r="AC110" s="14" t="s">
        <v>69</v>
      </c>
      <c r="AD110" s="13" t="s">
        <v>60</v>
      </c>
      <c r="AE110" s="13">
        <v>7800</v>
      </c>
      <c r="AF110" s="14">
        <v>15600</v>
      </c>
      <c r="AG110" s="14">
        <v>-46</v>
      </c>
      <c r="AH110" s="14">
        <v>4212</v>
      </c>
      <c r="AI110" s="14">
        <v>8424</v>
      </c>
      <c r="AJ110" s="14" t="s">
        <v>46</v>
      </c>
      <c r="AK110" s="13" t="s">
        <v>46</v>
      </c>
      <c r="AL110" s="13" t="s">
        <v>46</v>
      </c>
      <c r="AM110" s="13" t="s">
        <v>49</v>
      </c>
      <c r="AN110" s="13" t="s">
        <v>504</v>
      </c>
      <c r="AO110" s="13">
        <v>56</v>
      </c>
      <c r="AP110" s="14">
        <v>62.9</v>
      </c>
      <c r="AQ110" s="14" t="s">
        <v>49</v>
      </c>
      <c r="AR110" s="13">
        <v>36.5</v>
      </c>
      <c r="AS110" s="14">
        <v>16.5</v>
      </c>
      <c r="AT110" s="14">
        <v>40.6</v>
      </c>
      <c r="AU110" s="13" t="s">
        <v>503</v>
      </c>
      <c r="AV110" s="13" t="str">
        <f>HYPERLINK("https://diamdna.azureedge.net/imaged/bdq-68/still.jpg ","Image")</f>
        <v>Image</v>
      </c>
      <c r="AW110" s="13" t="str">
        <f>HYPERLINK("https://diamdna.azureedge.net/Vision360.html?d=bdq-68&amp;sr=-30&amp;s=30 ","Video")</f>
        <v>Video</v>
      </c>
      <c r="AX110" s="13" t="str">
        <f>HYPERLINK("https://diamdna.azureedge.net/imaged/bdq-68/video.mp4 ","Download")</f>
        <v>Download</v>
      </c>
      <c r="AY110" s="13" t="s">
        <v>42</v>
      </c>
      <c r="AZ110" s="13" t="str">
        <f>HYPERLINK("https://diamdna.azureedge.net/reports/6542537858.pdf#zoom=150 ","6542537858")</f>
        <v>6542537858</v>
      </c>
      <c r="BA110" s="13" t="s">
        <v>43</v>
      </c>
      <c r="BB110" s="13">
        <v>2</v>
      </c>
      <c r="BC110" s="14" t="s">
        <v>69</v>
      </c>
      <c r="BD110" s="13" t="s">
        <v>60</v>
      </c>
      <c r="BE110" s="13">
        <v>7800</v>
      </c>
      <c r="BF110" s="14">
        <v>15600</v>
      </c>
      <c r="BG110" s="14">
        <v>-46</v>
      </c>
      <c r="BH110" s="14">
        <v>4212</v>
      </c>
      <c r="BI110" s="14">
        <v>8424</v>
      </c>
      <c r="BJ110" s="14" t="s">
        <v>46</v>
      </c>
      <c r="BK110" s="13" t="s">
        <v>46</v>
      </c>
      <c r="BL110" s="13" t="s">
        <v>46</v>
      </c>
      <c r="BM110" s="13" t="s">
        <v>49</v>
      </c>
      <c r="BN110" s="13" t="s">
        <v>504</v>
      </c>
      <c r="BO110" s="13">
        <v>56</v>
      </c>
      <c r="BP110" s="14">
        <v>62.9</v>
      </c>
      <c r="BQ110" s="14" t="s">
        <v>49</v>
      </c>
      <c r="BR110" s="13">
        <v>36.5</v>
      </c>
      <c r="BS110" s="14">
        <v>16.5</v>
      </c>
      <c r="BT110" s="14">
        <v>40.6</v>
      </c>
      <c r="BU110" s="14">
        <v>43</v>
      </c>
      <c r="BV110" s="14" t="s">
        <v>505</v>
      </c>
      <c r="BW110" s="13" t="s">
        <v>50</v>
      </c>
      <c r="BX110" s="13" t="s">
        <v>51</v>
      </c>
      <c r="BY110" s="13">
        <v>3.5</v>
      </c>
      <c r="BZ110" s="14">
        <v>1.01</v>
      </c>
      <c r="CA110" s="14" t="s">
        <v>99</v>
      </c>
      <c r="CB110" s="13" t="s">
        <v>128</v>
      </c>
      <c r="CC110" s="13" t="s">
        <v>387</v>
      </c>
      <c r="CD110" s="13" t="s">
        <v>54</v>
      </c>
      <c r="CE110" s="13" t="s">
        <v>93</v>
      </c>
      <c r="CF110" s="13" t="s">
        <v>339</v>
      </c>
      <c r="CG110" s="13" t="s">
        <v>65</v>
      </c>
      <c r="CH110" s="13" t="s">
        <v>502</v>
      </c>
    </row>
    <row r="111" spans="21:86" x14ac:dyDescent="0.3">
      <c r="U111" s="13" t="s">
        <v>506</v>
      </c>
      <c r="V111" s="13" t="str">
        <f>HYPERLINK("https://diamdna.azureedge.net/imaged/br-28/still.jpg ","Image")</f>
        <v>Image</v>
      </c>
      <c r="W111" s="13" t="str">
        <f>HYPERLINK("https://diamdna.azureedge.net/Vision360.html?d=br-28&amp;sr=-30&amp;s=30 ","Video")</f>
        <v>Video</v>
      </c>
      <c r="X111" s="13" t="str">
        <f>HYPERLINK("https://diamdna.azureedge.net/imaged/br-28/video.mp4 ","Download")</f>
        <v>Download</v>
      </c>
      <c r="Y111" s="13" t="s">
        <v>76</v>
      </c>
      <c r="Z111" s="13" t="str">
        <f>HYPERLINK("https://diamdna.azureedge.net/reports/656470820.pdf#zoom=150 ","656470820")</f>
        <v>656470820</v>
      </c>
      <c r="AA111" s="13" t="s">
        <v>43</v>
      </c>
      <c r="AB111" s="13">
        <v>2</v>
      </c>
      <c r="AC111" s="14" t="s">
        <v>69</v>
      </c>
      <c r="AD111" s="13" t="s">
        <v>60</v>
      </c>
      <c r="AE111" s="13">
        <v>7800</v>
      </c>
      <c r="AF111" s="14">
        <v>15600</v>
      </c>
      <c r="AG111" s="14">
        <v>-75.5</v>
      </c>
      <c r="AH111" s="14">
        <v>1911</v>
      </c>
      <c r="AI111" s="14">
        <v>3822</v>
      </c>
      <c r="AJ111" s="14" t="s">
        <v>120</v>
      </c>
      <c r="AK111" s="13" t="s">
        <v>46</v>
      </c>
      <c r="AL111" s="13" t="s">
        <v>120</v>
      </c>
      <c r="AM111" s="13" t="s">
        <v>49</v>
      </c>
      <c r="AN111" s="13" t="s">
        <v>507</v>
      </c>
      <c r="AO111" s="13">
        <v>55</v>
      </c>
      <c r="AP111" s="14">
        <v>64.8</v>
      </c>
      <c r="AQ111" s="14" t="s">
        <v>80</v>
      </c>
      <c r="AR111" s="13">
        <v>38.1</v>
      </c>
      <c r="AS111" s="14">
        <v>17.5</v>
      </c>
      <c r="AT111" s="14">
        <v>39.799999999999997</v>
      </c>
      <c r="AU111" s="13" t="s">
        <v>506</v>
      </c>
      <c r="AV111" s="13" t="str">
        <f>HYPERLINK("https://diamdna.azureedge.net/imaged/br-28/still.jpg ","Image")</f>
        <v>Image</v>
      </c>
      <c r="AW111" s="13" t="str">
        <f>HYPERLINK("https://diamdna.azureedge.net/Vision360.html?d=br-28&amp;sr=-30&amp;s=30 ","Video")</f>
        <v>Video</v>
      </c>
      <c r="AX111" s="13" t="str">
        <f>HYPERLINK("https://diamdna.azureedge.net/imaged/br-28/video.mp4 ","Download")</f>
        <v>Download</v>
      </c>
      <c r="AY111" s="13" t="s">
        <v>76</v>
      </c>
      <c r="AZ111" s="13" t="str">
        <f>HYPERLINK("https://diamdna.azureedge.net/reports/656470820.pdf#zoom=150 ","656470820")</f>
        <v>656470820</v>
      </c>
      <c r="BA111" s="13" t="s">
        <v>43</v>
      </c>
      <c r="BB111" s="13">
        <v>2</v>
      </c>
      <c r="BC111" s="14" t="s">
        <v>69</v>
      </c>
      <c r="BD111" s="13" t="s">
        <v>60</v>
      </c>
      <c r="BE111" s="13">
        <v>7800</v>
      </c>
      <c r="BF111" s="14">
        <v>15600</v>
      </c>
      <c r="BG111" s="14">
        <v>-75.5</v>
      </c>
      <c r="BH111" s="14">
        <v>1911</v>
      </c>
      <c r="BI111" s="14">
        <v>3822</v>
      </c>
      <c r="BJ111" s="14" t="s">
        <v>120</v>
      </c>
      <c r="BK111" s="13" t="s">
        <v>46</v>
      </c>
      <c r="BL111" s="13" t="s">
        <v>120</v>
      </c>
      <c r="BM111" s="13" t="s">
        <v>49</v>
      </c>
      <c r="BN111" s="13" t="s">
        <v>507</v>
      </c>
      <c r="BO111" s="13">
        <v>55</v>
      </c>
      <c r="BP111" s="14">
        <v>64.8</v>
      </c>
      <c r="BQ111" s="14" t="s">
        <v>80</v>
      </c>
      <c r="BR111" s="13">
        <v>38.1</v>
      </c>
      <c r="BS111" s="14">
        <v>17.5</v>
      </c>
      <c r="BT111" s="14">
        <v>39.799999999999997</v>
      </c>
      <c r="BU111" s="14">
        <v>41.5</v>
      </c>
      <c r="BV111" s="14"/>
      <c r="BW111" s="13" t="s">
        <v>50</v>
      </c>
      <c r="BX111" s="13" t="s">
        <v>177</v>
      </c>
      <c r="BY111" s="13">
        <v>5.4</v>
      </c>
      <c r="BZ111" s="14">
        <v>1.02</v>
      </c>
      <c r="CA111" s="14" t="s">
        <v>137</v>
      </c>
      <c r="CB111" s="13" t="s">
        <v>128</v>
      </c>
      <c r="CC111" s="13" t="s">
        <v>82</v>
      </c>
      <c r="CD111" s="13" t="s">
        <v>54</v>
      </c>
      <c r="CE111" s="13" t="s">
        <v>93</v>
      </c>
      <c r="CF111" s="13" t="s">
        <v>56</v>
      </c>
      <c r="CG111" s="13" t="s">
        <v>57</v>
      </c>
      <c r="CH111" s="13" t="s">
        <v>508</v>
      </c>
    </row>
    <row r="112" spans="21:86" x14ac:dyDescent="0.3">
      <c r="U112" s="13" t="s">
        <v>509</v>
      </c>
      <c r="V112" s="13" t="str">
        <f>HYPERLINK("https://diamdna.azureedge.net/imaged/mk26-75/still.jpg ","Image")</f>
        <v>Image</v>
      </c>
      <c r="W112" s="13" t="str">
        <f>HYPERLINK("https://diamdna.azureedge.net/Vision360.html?d=mk26-75&amp;sr=-30&amp;s=30 ","Video")</f>
        <v>Video</v>
      </c>
      <c r="X112" s="13" t="str">
        <f>HYPERLINK("https://diamdna.azureedge.net/imaged/mk26-75/video.mp4 ","Download")</f>
        <v>Download</v>
      </c>
      <c r="Y112" s="13" t="s">
        <v>163</v>
      </c>
      <c r="Z112" s="13" t="str">
        <f>HYPERLINK("https://diamdna.azureedge.net/reports/260000038952.pdf#zoom=150 ","260000038952")</f>
        <v>260000038952</v>
      </c>
      <c r="AA112" s="13" t="s">
        <v>43</v>
      </c>
      <c r="AB112" s="13">
        <v>2</v>
      </c>
      <c r="AC112" s="14" t="s">
        <v>69</v>
      </c>
      <c r="AD112" s="13" t="s">
        <v>60</v>
      </c>
      <c r="AE112" s="13">
        <v>7800</v>
      </c>
      <c r="AF112" s="14">
        <v>15600</v>
      </c>
      <c r="AG112" s="14">
        <v>-70</v>
      </c>
      <c r="AH112" s="14">
        <v>2340</v>
      </c>
      <c r="AI112" s="14">
        <v>4680</v>
      </c>
      <c r="AJ112" s="14" t="s">
        <v>120</v>
      </c>
      <c r="AK112" s="13" t="s">
        <v>120</v>
      </c>
      <c r="AL112" s="13" t="s">
        <v>120</v>
      </c>
      <c r="AM112" s="13" t="s">
        <v>49</v>
      </c>
      <c r="AN112" s="13" t="s">
        <v>510</v>
      </c>
      <c r="AO112" s="13">
        <v>57</v>
      </c>
      <c r="AP112" s="14">
        <v>63.8</v>
      </c>
      <c r="AQ112" s="14" t="s">
        <v>165</v>
      </c>
      <c r="AR112" s="13">
        <v>35.9</v>
      </c>
      <c r="AS112" s="14">
        <v>15.5</v>
      </c>
      <c r="AT112" s="14">
        <v>39.799999999999997</v>
      </c>
      <c r="AU112" s="13" t="s">
        <v>509</v>
      </c>
      <c r="AV112" s="13" t="str">
        <f>HYPERLINK("https://diamdna.azureedge.net/imaged/mk26-75/still.jpg ","Image")</f>
        <v>Image</v>
      </c>
      <c r="AW112" s="13" t="str">
        <f>HYPERLINK("https://diamdna.azureedge.net/Vision360.html?d=mk26-75&amp;sr=-30&amp;s=30 ","Video")</f>
        <v>Video</v>
      </c>
      <c r="AX112" s="13" t="str">
        <f>HYPERLINK("https://diamdna.azureedge.net/imaged/mk26-75/video.mp4 ","Download")</f>
        <v>Download</v>
      </c>
      <c r="AY112" s="13" t="s">
        <v>163</v>
      </c>
      <c r="AZ112" s="13" t="str">
        <f>HYPERLINK("https://diamdna.azureedge.net/reports/260000038952.pdf#zoom=150 ","260000038952")</f>
        <v>260000038952</v>
      </c>
      <c r="BA112" s="13" t="s">
        <v>43</v>
      </c>
      <c r="BB112" s="13">
        <v>2</v>
      </c>
      <c r="BC112" s="14" t="s">
        <v>69</v>
      </c>
      <c r="BD112" s="13" t="s">
        <v>60</v>
      </c>
      <c r="BE112" s="13">
        <v>7800</v>
      </c>
      <c r="BF112" s="14">
        <v>15600</v>
      </c>
      <c r="BG112" s="14">
        <v>-70</v>
      </c>
      <c r="BH112" s="14">
        <v>2340</v>
      </c>
      <c r="BI112" s="14">
        <v>4680</v>
      </c>
      <c r="BJ112" s="14" t="s">
        <v>120</v>
      </c>
      <c r="BK112" s="13" t="s">
        <v>120</v>
      </c>
      <c r="BL112" s="13" t="s">
        <v>120</v>
      </c>
      <c r="BM112" s="13" t="s">
        <v>49</v>
      </c>
      <c r="BN112" s="13" t="s">
        <v>510</v>
      </c>
      <c r="BO112" s="13">
        <v>57</v>
      </c>
      <c r="BP112" s="14">
        <v>63.8</v>
      </c>
      <c r="BQ112" s="14" t="s">
        <v>165</v>
      </c>
      <c r="BR112" s="13">
        <v>35.9</v>
      </c>
      <c r="BS112" s="14">
        <v>15.5</v>
      </c>
      <c r="BT112" s="14">
        <v>39.799999999999997</v>
      </c>
      <c r="BU112" s="14">
        <v>41.5</v>
      </c>
      <c r="BV112" s="14"/>
      <c r="BW112" s="13" t="s">
        <v>50</v>
      </c>
      <c r="BX112" s="13" t="s">
        <v>364</v>
      </c>
      <c r="BY112" s="13">
        <v>6.5</v>
      </c>
      <c r="BZ112" s="14">
        <v>1.02</v>
      </c>
      <c r="CA112" s="14" t="s">
        <v>99</v>
      </c>
      <c r="CB112" s="13" t="s">
        <v>128</v>
      </c>
      <c r="CC112" s="13"/>
      <c r="CD112" s="13" t="s">
        <v>54</v>
      </c>
      <c r="CE112" s="13" t="s">
        <v>143</v>
      </c>
      <c r="CF112" s="13" t="s">
        <v>56</v>
      </c>
      <c r="CG112" s="13" t="s">
        <v>57</v>
      </c>
      <c r="CH112" s="13" t="s">
        <v>435</v>
      </c>
    </row>
    <row r="113" spans="21:86" x14ac:dyDescent="0.3">
      <c r="U113" s="13" t="s">
        <v>511</v>
      </c>
      <c r="V113" s="13" t="str">
        <f>HYPERLINK("https://diamdna.azureedge.net/imaged/km25-3/still.jpg ","Image")</f>
        <v>Image</v>
      </c>
      <c r="W113" s="13" t="str">
        <f>HYPERLINK("https://diamdna.azureedge.net/Vision360.html?d=km25-3&amp;sr=-30&amp;s=30 ","Video")</f>
        <v>Video</v>
      </c>
      <c r="X113" s="13" t="str">
        <f>HYPERLINK("https://diamdna.azureedge.net/imaged/km25-3/video.mp4 ","Download")</f>
        <v>Download</v>
      </c>
      <c r="Y113" s="13" t="s">
        <v>42</v>
      </c>
      <c r="Z113" s="13" t="str">
        <f>HYPERLINK("https://diamdna.azureedge.net/reports/7541169961.pdf#zoom=150 ","7541169961")</f>
        <v>7541169961</v>
      </c>
      <c r="AA113" s="13" t="s">
        <v>43</v>
      </c>
      <c r="AB113" s="13">
        <v>2</v>
      </c>
      <c r="AC113" s="14" t="s">
        <v>44</v>
      </c>
      <c r="AD113" s="13" t="s">
        <v>78</v>
      </c>
      <c r="AE113" s="13">
        <v>7600</v>
      </c>
      <c r="AF113" s="14">
        <v>15200</v>
      </c>
      <c r="AG113" s="14">
        <v>-60.5</v>
      </c>
      <c r="AH113" s="14">
        <v>3002</v>
      </c>
      <c r="AI113" s="14">
        <v>6004</v>
      </c>
      <c r="AJ113" s="14" t="s">
        <v>374</v>
      </c>
      <c r="AK113" s="13" t="s">
        <v>46</v>
      </c>
      <c r="AL113" s="13" t="s">
        <v>374</v>
      </c>
      <c r="AM113" s="13" t="s">
        <v>134</v>
      </c>
      <c r="AN113" s="13" t="s">
        <v>512</v>
      </c>
      <c r="AO113" s="13">
        <v>56</v>
      </c>
      <c r="AP113" s="14">
        <v>67.5</v>
      </c>
      <c r="AQ113" s="14" t="s">
        <v>49</v>
      </c>
      <c r="AR113" s="13">
        <v>38</v>
      </c>
      <c r="AS113" s="14">
        <v>17.5</v>
      </c>
      <c r="AT113" s="14">
        <v>40.4</v>
      </c>
      <c r="AU113" s="13" t="s">
        <v>511</v>
      </c>
      <c r="AV113" s="13" t="str">
        <f>HYPERLINK("https://diamdna.azureedge.net/imaged/km25-3/still.jpg ","Image")</f>
        <v>Image</v>
      </c>
      <c r="AW113" s="13" t="str">
        <f>HYPERLINK("https://diamdna.azureedge.net/Vision360.html?d=km25-3&amp;sr=-30&amp;s=30 ","Video")</f>
        <v>Video</v>
      </c>
      <c r="AX113" s="13" t="str">
        <f>HYPERLINK("https://diamdna.azureedge.net/imaged/km25-3/video.mp4 ","Download")</f>
        <v>Download</v>
      </c>
      <c r="AY113" s="13" t="s">
        <v>42</v>
      </c>
      <c r="AZ113" s="13" t="str">
        <f>HYPERLINK("https://diamdna.azureedge.net/reports/7541169961.pdf#zoom=150 ","7541169961")</f>
        <v>7541169961</v>
      </c>
      <c r="BA113" s="13" t="s">
        <v>43</v>
      </c>
      <c r="BB113" s="13">
        <v>2</v>
      </c>
      <c r="BC113" s="14" t="s">
        <v>44</v>
      </c>
      <c r="BD113" s="13" t="s">
        <v>78</v>
      </c>
      <c r="BE113" s="13">
        <v>7600</v>
      </c>
      <c r="BF113" s="14">
        <v>15200</v>
      </c>
      <c r="BG113" s="14">
        <v>-60.5</v>
      </c>
      <c r="BH113" s="14">
        <v>3002</v>
      </c>
      <c r="BI113" s="14">
        <v>6004</v>
      </c>
      <c r="BJ113" s="14" t="s">
        <v>374</v>
      </c>
      <c r="BK113" s="13" t="s">
        <v>46</v>
      </c>
      <c r="BL113" s="13" t="s">
        <v>374</v>
      </c>
      <c r="BM113" s="13" t="s">
        <v>134</v>
      </c>
      <c r="BN113" s="13" t="s">
        <v>512</v>
      </c>
      <c r="BO113" s="13">
        <v>56</v>
      </c>
      <c r="BP113" s="14">
        <v>67.5</v>
      </c>
      <c r="BQ113" s="14" t="s">
        <v>49</v>
      </c>
      <c r="BR113" s="13">
        <v>38</v>
      </c>
      <c r="BS113" s="14">
        <v>17.5</v>
      </c>
      <c r="BT113" s="14">
        <v>40.4</v>
      </c>
      <c r="BU113" s="14">
        <v>43</v>
      </c>
      <c r="BV113" s="14" t="s">
        <v>513</v>
      </c>
      <c r="BW113" s="13" t="s">
        <v>50</v>
      </c>
      <c r="BX113" s="13" t="s">
        <v>346</v>
      </c>
      <c r="BY113" s="13">
        <v>7</v>
      </c>
      <c r="BZ113" s="14">
        <v>1.02</v>
      </c>
      <c r="CA113" s="14" t="s">
        <v>99</v>
      </c>
      <c r="CB113" s="13" t="s">
        <v>128</v>
      </c>
      <c r="CC113" s="13" t="s">
        <v>203</v>
      </c>
      <c r="CD113" s="13" t="s">
        <v>54</v>
      </c>
      <c r="CE113" s="13" t="s">
        <v>110</v>
      </c>
      <c r="CF113" s="13" t="s">
        <v>56</v>
      </c>
      <c r="CG113" s="13" t="s">
        <v>130</v>
      </c>
      <c r="CH113" s="13" t="s">
        <v>514</v>
      </c>
    </row>
    <row r="114" spans="21:86" x14ac:dyDescent="0.3">
      <c r="U114" s="13" t="s">
        <v>515</v>
      </c>
      <c r="V114" s="17" t="str">
        <f>HYPERLINK("https://diamdna.azureedge.net/imaged/bec-123/still.jpg ","Image")</f>
        <v>Image</v>
      </c>
      <c r="W114" s="17" t="str">
        <f>HYPERLINK("https://diamdna.azureedge.net/Vision360.html?d=bec-123&amp;sr=-30&amp;s=30 ","Video")</f>
        <v>Video</v>
      </c>
      <c r="X114" s="17" t="str">
        <f>HYPERLINK("https://diamdna.azureedge.net/imaged/bec-123/video.mp4 ","Download")</f>
        <v>Download</v>
      </c>
      <c r="Y114" s="13" t="s">
        <v>42</v>
      </c>
      <c r="Z114" s="13" t="str">
        <f>HYPERLINK("https://diamdna.azureedge.net/reports/1543773530.pdf#zoom=150 ","1543773530")</f>
        <v>1543773530</v>
      </c>
      <c r="AA114" s="13" t="s">
        <v>43</v>
      </c>
      <c r="AB114" s="13">
        <v>2</v>
      </c>
      <c r="AC114" s="14" t="s">
        <v>44</v>
      </c>
      <c r="AD114" s="13" t="s">
        <v>78</v>
      </c>
      <c r="AE114" s="13">
        <v>7600</v>
      </c>
      <c r="AF114" s="14">
        <v>15200</v>
      </c>
      <c r="AG114" s="14">
        <v>-55</v>
      </c>
      <c r="AH114" s="14">
        <v>3420</v>
      </c>
      <c r="AI114" s="14">
        <v>6840</v>
      </c>
      <c r="AJ114" s="14" t="s">
        <v>374</v>
      </c>
      <c r="AK114" s="13" t="s">
        <v>46</v>
      </c>
      <c r="AL114" s="13" t="s">
        <v>374</v>
      </c>
      <c r="AM114" s="13" t="s">
        <v>49</v>
      </c>
      <c r="AN114" s="13" t="s">
        <v>516</v>
      </c>
      <c r="AO114" s="13">
        <v>55</v>
      </c>
      <c r="AP114" s="14">
        <v>66.5</v>
      </c>
      <c r="AQ114" s="14" t="s">
        <v>49</v>
      </c>
      <c r="AR114" s="13">
        <v>40</v>
      </c>
      <c r="AS114" s="14">
        <v>19</v>
      </c>
      <c r="AT114" s="14">
        <v>39.200000000000003</v>
      </c>
      <c r="AU114" s="13" t="s">
        <v>515</v>
      </c>
      <c r="AV114" s="17" t="str">
        <f>HYPERLINK("https://diamdna.azureedge.net/imaged/bec-123/still.jpg ","Image")</f>
        <v>Image</v>
      </c>
      <c r="AW114" s="17" t="str">
        <f>HYPERLINK("https://diamdna.azureedge.net/Vision360.html?d=bec-123&amp;sr=-30&amp;s=30 ","Video")</f>
        <v>Video</v>
      </c>
      <c r="AX114" s="17" t="str">
        <f>HYPERLINK("https://diamdna.azureedge.net/imaged/bec-123/video.mp4 ","Download")</f>
        <v>Download</v>
      </c>
      <c r="AY114" s="13" t="s">
        <v>42</v>
      </c>
      <c r="AZ114" s="13" t="str">
        <f>HYPERLINK("https://diamdna.azureedge.net/reports/1543773530.pdf#zoom=150 ","1543773530")</f>
        <v>1543773530</v>
      </c>
      <c r="BA114" s="13" t="s">
        <v>43</v>
      </c>
      <c r="BB114" s="13">
        <v>2</v>
      </c>
      <c r="BC114" s="14" t="s">
        <v>44</v>
      </c>
      <c r="BD114" s="13" t="s">
        <v>78</v>
      </c>
      <c r="BE114" s="13">
        <v>7600</v>
      </c>
      <c r="BF114" s="14">
        <v>15200</v>
      </c>
      <c r="BG114" s="14">
        <v>-55</v>
      </c>
      <c r="BH114" s="14">
        <v>3420</v>
      </c>
      <c r="BI114" s="14">
        <v>6840</v>
      </c>
      <c r="BJ114" s="14" t="s">
        <v>374</v>
      </c>
      <c r="BK114" s="13" t="s">
        <v>46</v>
      </c>
      <c r="BL114" s="13" t="s">
        <v>374</v>
      </c>
      <c r="BM114" s="13" t="s">
        <v>49</v>
      </c>
      <c r="BN114" s="13" t="s">
        <v>516</v>
      </c>
      <c r="BO114" s="13">
        <v>55</v>
      </c>
      <c r="BP114" s="14">
        <v>66.5</v>
      </c>
      <c r="BQ114" s="14" t="s">
        <v>49</v>
      </c>
      <c r="BR114" s="13">
        <v>40</v>
      </c>
      <c r="BS114" s="14">
        <v>19</v>
      </c>
      <c r="BT114" s="14">
        <v>39.200000000000003</v>
      </c>
      <c r="BU114" s="14">
        <v>40.5</v>
      </c>
      <c r="BV114" s="14" t="s">
        <v>517</v>
      </c>
      <c r="BW114" s="13" t="s">
        <v>50</v>
      </c>
      <c r="BX114" s="13" t="s">
        <v>107</v>
      </c>
      <c r="BY114" s="13">
        <v>7</v>
      </c>
      <c r="BZ114" s="14">
        <v>1.02</v>
      </c>
      <c r="CA114" s="14" t="s">
        <v>52</v>
      </c>
      <c r="CB114" s="13" t="s">
        <v>54</v>
      </c>
      <c r="CC114" s="13" t="s">
        <v>518</v>
      </c>
      <c r="CD114" s="13" t="s">
        <v>54</v>
      </c>
      <c r="CE114" s="13" t="s">
        <v>93</v>
      </c>
      <c r="CF114" s="13" t="s">
        <v>339</v>
      </c>
      <c r="CG114" s="13" t="s">
        <v>130</v>
      </c>
      <c r="CH114" s="13" t="s">
        <v>150</v>
      </c>
    </row>
    <row r="115" spans="21:86" x14ac:dyDescent="0.3">
      <c r="U115" s="13" t="s">
        <v>519</v>
      </c>
      <c r="V115" s="13" t="str">
        <f>HYPERLINK("https://diamdna.azureedge.net/imaged/bei-4/still.jpg ","Image")</f>
        <v>Image</v>
      </c>
      <c r="W115" s="13" t="str">
        <f>HYPERLINK("https://diamdna.azureedge.net/Vision360.html?d=bei-4&amp;sr=-30&amp;s=30 ","Video")</f>
        <v>Video</v>
      </c>
      <c r="X115" s="13" t="str">
        <f>HYPERLINK("https://diamdna.azureedge.net/imaged/bei-4/video.mp4 ","Download")</f>
        <v>Download</v>
      </c>
      <c r="Y115" s="13" t="s">
        <v>42</v>
      </c>
      <c r="Z115" s="13" t="str">
        <f>HYPERLINK("https://diamdna.azureedge.net/reports/1545908677.pdf#zoom=150 ","1545908677")</f>
        <v>1545908677</v>
      </c>
      <c r="AA115" s="13" t="s">
        <v>43</v>
      </c>
      <c r="AB115" s="13">
        <v>2</v>
      </c>
      <c r="AC115" s="14" t="s">
        <v>44</v>
      </c>
      <c r="AD115" s="13" t="s">
        <v>133</v>
      </c>
      <c r="AE115" s="13">
        <v>6900</v>
      </c>
      <c r="AF115" s="14">
        <v>13800</v>
      </c>
      <c r="AG115" s="14">
        <v>-60.5</v>
      </c>
      <c r="AH115" s="14">
        <v>2725.5</v>
      </c>
      <c r="AI115" s="14">
        <v>5451</v>
      </c>
      <c r="AJ115" s="14" t="s">
        <v>374</v>
      </c>
      <c r="AK115" s="13" t="s">
        <v>120</v>
      </c>
      <c r="AL115" s="13" t="s">
        <v>120</v>
      </c>
      <c r="AM115" s="13" t="s">
        <v>47</v>
      </c>
      <c r="AN115" s="13" t="s">
        <v>520</v>
      </c>
      <c r="AO115" s="13">
        <v>56</v>
      </c>
      <c r="AP115" s="14">
        <v>65.400000000000006</v>
      </c>
      <c r="AQ115" s="14" t="s">
        <v>49</v>
      </c>
      <c r="AR115" s="13">
        <v>39.5</v>
      </c>
      <c r="AS115" s="14">
        <v>18</v>
      </c>
      <c r="AT115" s="14">
        <v>39.4</v>
      </c>
      <c r="AU115" s="13" t="s">
        <v>519</v>
      </c>
      <c r="AV115" s="13" t="str">
        <f>HYPERLINK("https://diamdna.azureedge.net/imaged/bei-4/still.jpg ","Image")</f>
        <v>Image</v>
      </c>
      <c r="AW115" s="13" t="str">
        <f>HYPERLINK("https://diamdna.azureedge.net/Vision360.html?d=bei-4&amp;sr=-30&amp;s=30 ","Video")</f>
        <v>Video</v>
      </c>
      <c r="AX115" s="13" t="str">
        <f>HYPERLINK("https://diamdna.azureedge.net/imaged/bei-4/video.mp4 ","Download")</f>
        <v>Download</v>
      </c>
      <c r="AY115" s="13" t="s">
        <v>42</v>
      </c>
      <c r="AZ115" s="13" t="str">
        <f>HYPERLINK("https://diamdna.azureedge.net/reports/1545908677.pdf#zoom=150 ","1545908677")</f>
        <v>1545908677</v>
      </c>
      <c r="BA115" s="13" t="s">
        <v>43</v>
      </c>
      <c r="BB115" s="13">
        <v>2</v>
      </c>
      <c r="BC115" s="14" t="s">
        <v>44</v>
      </c>
      <c r="BD115" s="13" t="s">
        <v>133</v>
      </c>
      <c r="BE115" s="13">
        <v>6900</v>
      </c>
      <c r="BF115" s="14">
        <v>13800</v>
      </c>
      <c r="BG115" s="14">
        <v>-60.5</v>
      </c>
      <c r="BH115" s="14">
        <v>2725.5</v>
      </c>
      <c r="BI115" s="14">
        <v>5451</v>
      </c>
      <c r="BJ115" s="14" t="s">
        <v>374</v>
      </c>
      <c r="BK115" s="13" t="s">
        <v>120</v>
      </c>
      <c r="BL115" s="13" t="s">
        <v>120</v>
      </c>
      <c r="BM115" s="13" t="s">
        <v>47</v>
      </c>
      <c r="BN115" s="13" t="s">
        <v>520</v>
      </c>
      <c r="BO115" s="13">
        <v>56</v>
      </c>
      <c r="BP115" s="14">
        <v>65.400000000000006</v>
      </c>
      <c r="BQ115" s="14" t="s">
        <v>49</v>
      </c>
      <c r="BR115" s="13">
        <v>39.5</v>
      </c>
      <c r="BS115" s="14">
        <v>18</v>
      </c>
      <c r="BT115" s="14">
        <v>39.4</v>
      </c>
      <c r="BU115" s="14">
        <v>41</v>
      </c>
      <c r="BV115" s="14" t="s">
        <v>521</v>
      </c>
      <c r="BW115" s="13" t="s">
        <v>50</v>
      </c>
      <c r="BX115" s="13" t="s">
        <v>346</v>
      </c>
      <c r="BY115" s="13">
        <v>6.5</v>
      </c>
      <c r="BZ115" s="14">
        <v>1.01</v>
      </c>
      <c r="CA115" s="14" t="s">
        <v>197</v>
      </c>
      <c r="CB115" s="13" t="s">
        <v>54</v>
      </c>
      <c r="CC115" s="13" t="s">
        <v>203</v>
      </c>
      <c r="CD115" s="13" t="s">
        <v>54</v>
      </c>
      <c r="CE115" s="13" t="s">
        <v>83</v>
      </c>
      <c r="CF115" s="13" t="s">
        <v>339</v>
      </c>
      <c r="CG115" s="13" t="s">
        <v>130</v>
      </c>
      <c r="CH115" s="13" t="s">
        <v>522</v>
      </c>
    </row>
    <row r="116" spans="21:86" x14ac:dyDescent="0.3">
      <c r="U116" s="13" t="s">
        <v>523</v>
      </c>
      <c r="V116" s="13" t="str">
        <f>HYPERLINK("https://diamdna.azureedge.net/imaged/mk26-168/still.jpg ","Image")</f>
        <v>Image</v>
      </c>
      <c r="W116" s="13" t="str">
        <f>HYPERLINK("https://diamdna.azureedge.net/Vision360.html?d=mk26-168&amp;sr=-30&amp;s=30 ","Video")</f>
        <v>Video</v>
      </c>
      <c r="X116" s="13" t="str">
        <f>HYPERLINK("https://diamdna.azureedge.net/imaged/mk26-168/video.mp4 ","Download")</f>
        <v>Download</v>
      </c>
      <c r="Y116" s="13" t="s">
        <v>76</v>
      </c>
      <c r="Z116" s="13" t="str">
        <f>HYPERLINK("https://diamdna.azureedge.net/reports/774671184.pdf#zoom=150 ","774671184")</f>
        <v>774671184</v>
      </c>
      <c r="AA116" s="13" t="s">
        <v>43</v>
      </c>
      <c r="AB116" s="13">
        <v>2</v>
      </c>
      <c r="AC116" s="14" t="s">
        <v>44</v>
      </c>
      <c r="AD116" s="13" t="s">
        <v>60</v>
      </c>
      <c r="AE116" s="13">
        <v>6300</v>
      </c>
      <c r="AF116" s="14">
        <v>12600</v>
      </c>
      <c r="AG116" s="14">
        <v>-72.5</v>
      </c>
      <c r="AH116" s="14">
        <v>1732.5</v>
      </c>
      <c r="AI116" s="14">
        <v>3465</v>
      </c>
      <c r="AJ116" s="14" t="s">
        <v>120</v>
      </c>
      <c r="AK116" s="13" t="s">
        <v>46</v>
      </c>
      <c r="AL116" s="13" t="s">
        <v>46</v>
      </c>
      <c r="AM116" s="13" t="s">
        <v>314</v>
      </c>
      <c r="AN116" s="13" t="s">
        <v>524</v>
      </c>
      <c r="AO116" s="13">
        <v>56</v>
      </c>
      <c r="AP116" s="14">
        <v>63.9</v>
      </c>
      <c r="AQ116" s="14" t="s">
        <v>80</v>
      </c>
      <c r="AR116" s="13">
        <v>35.799999999999997</v>
      </c>
      <c r="AS116" s="14">
        <v>16</v>
      </c>
      <c r="AT116" s="14">
        <v>40.5</v>
      </c>
      <c r="AU116" s="13" t="s">
        <v>523</v>
      </c>
      <c r="AV116" s="13" t="str">
        <f>HYPERLINK("https://diamdna.azureedge.net/imaged/mk26-168/still.jpg ","Image")</f>
        <v>Image</v>
      </c>
      <c r="AW116" s="13" t="str">
        <f>HYPERLINK("https://diamdna.azureedge.net/Vision360.html?d=mk26-168&amp;sr=-30&amp;s=30 ","Video")</f>
        <v>Video</v>
      </c>
      <c r="AX116" s="13" t="str">
        <f>HYPERLINK("https://diamdna.azureedge.net/imaged/mk26-168/video.mp4 ","Download")</f>
        <v>Download</v>
      </c>
      <c r="AY116" s="13" t="s">
        <v>76</v>
      </c>
      <c r="AZ116" s="13" t="str">
        <f>HYPERLINK("https://diamdna.azureedge.net/reports/774671184.pdf#zoom=150 ","774671184")</f>
        <v>774671184</v>
      </c>
      <c r="BA116" s="13" t="s">
        <v>43</v>
      </c>
      <c r="BB116" s="13">
        <v>2</v>
      </c>
      <c r="BC116" s="14" t="s">
        <v>44</v>
      </c>
      <c r="BD116" s="13" t="s">
        <v>60</v>
      </c>
      <c r="BE116" s="13">
        <v>6300</v>
      </c>
      <c r="BF116" s="14">
        <v>12600</v>
      </c>
      <c r="BG116" s="14">
        <v>-72.5</v>
      </c>
      <c r="BH116" s="14">
        <v>1732.5</v>
      </c>
      <c r="BI116" s="14">
        <v>3465</v>
      </c>
      <c r="BJ116" s="14" t="s">
        <v>120</v>
      </c>
      <c r="BK116" s="13" t="s">
        <v>46</v>
      </c>
      <c r="BL116" s="13" t="s">
        <v>46</v>
      </c>
      <c r="BM116" s="13" t="s">
        <v>314</v>
      </c>
      <c r="BN116" s="13" t="s">
        <v>524</v>
      </c>
      <c r="BO116" s="13">
        <v>56</v>
      </c>
      <c r="BP116" s="14">
        <v>63.9</v>
      </c>
      <c r="BQ116" s="14" t="s">
        <v>80</v>
      </c>
      <c r="BR116" s="13">
        <v>35.799999999999997</v>
      </c>
      <c r="BS116" s="14">
        <v>16</v>
      </c>
      <c r="BT116" s="14">
        <v>40.5</v>
      </c>
      <c r="BU116" s="14">
        <v>42.5</v>
      </c>
      <c r="BV116" s="14"/>
      <c r="BW116" s="13" t="s">
        <v>50</v>
      </c>
      <c r="BX116" s="13" t="s">
        <v>177</v>
      </c>
      <c r="BY116" s="13">
        <v>5.2</v>
      </c>
      <c r="BZ116" s="14">
        <v>1.01</v>
      </c>
      <c r="CA116" s="14" t="s">
        <v>99</v>
      </c>
      <c r="CB116" s="13" t="s">
        <v>53</v>
      </c>
      <c r="CC116" s="13" t="s">
        <v>82</v>
      </c>
      <c r="CD116" s="13" t="s">
        <v>54</v>
      </c>
      <c r="CE116" s="13" t="s">
        <v>143</v>
      </c>
      <c r="CF116" s="13" t="s">
        <v>56</v>
      </c>
      <c r="CG116" s="13" t="s">
        <v>57</v>
      </c>
      <c r="CH116" s="13" t="s">
        <v>150</v>
      </c>
    </row>
    <row r="117" spans="21:86" x14ac:dyDescent="0.3">
      <c r="U117" s="13" t="s">
        <v>525</v>
      </c>
      <c r="V117" s="13" t="str">
        <f>HYPERLINK("https://diamdna.azureedge.net/imaged/bec-39/still.jpg ","Image")</f>
        <v>Image</v>
      </c>
      <c r="W117" s="13" t="str">
        <f>HYPERLINK("https://diamdna.azureedge.net/Vision360.html?d=bec-39&amp;sr=-30&amp;s=30 ","Video")</f>
        <v>Video</v>
      </c>
      <c r="X117" s="13" t="str">
        <f>HYPERLINK("https://diamdna.azureedge.net/imaged/bec-39/video.mp4 ","Download")</f>
        <v>Download</v>
      </c>
      <c r="Y117" s="13" t="s">
        <v>163</v>
      </c>
      <c r="Z117" s="13" t="str">
        <f>HYPERLINK("https://diamdna.azureedge.net/reports/260000054466.pdf#zoom=150 ","260000054466")</f>
        <v>260000054466</v>
      </c>
      <c r="AA117" s="13" t="s">
        <v>43</v>
      </c>
      <c r="AB117" s="13">
        <v>2</v>
      </c>
      <c r="AC117" s="14" t="s">
        <v>44</v>
      </c>
      <c r="AD117" s="13" t="s">
        <v>60</v>
      </c>
      <c r="AE117" s="13">
        <v>6300</v>
      </c>
      <c r="AF117" s="14">
        <v>12600</v>
      </c>
      <c r="AG117" s="14">
        <v>-72.5</v>
      </c>
      <c r="AH117" s="14">
        <v>1732.5</v>
      </c>
      <c r="AI117" s="14">
        <v>3465</v>
      </c>
      <c r="AJ117" s="14" t="s">
        <v>120</v>
      </c>
      <c r="AK117" s="13" t="s">
        <v>120</v>
      </c>
      <c r="AL117" s="13" t="s">
        <v>120</v>
      </c>
      <c r="AM117" s="13" t="s">
        <v>47</v>
      </c>
      <c r="AN117" s="13" t="s">
        <v>526</v>
      </c>
      <c r="AO117" s="13">
        <v>56</v>
      </c>
      <c r="AP117" s="14">
        <v>64.599999999999994</v>
      </c>
      <c r="AQ117" s="14" t="s">
        <v>165</v>
      </c>
      <c r="AR117" s="13">
        <v>38.200000000000003</v>
      </c>
      <c r="AS117" s="14">
        <v>17.5</v>
      </c>
      <c r="AT117" s="14">
        <v>40.200000000000003</v>
      </c>
      <c r="AU117" s="13" t="s">
        <v>525</v>
      </c>
      <c r="AV117" s="13" t="str">
        <f>HYPERLINK("https://diamdna.azureedge.net/imaged/bec-39/still.jpg ","Image")</f>
        <v>Image</v>
      </c>
      <c r="AW117" s="13" t="str">
        <f>HYPERLINK("https://diamdna.azureedge.net/Vision360.html?d=bec-39&amp;sr=-30&amp;s=30 ","Video")</f>
        <v>Video</v>
      </c>
      <c r="AX117" s="13" t="str">
        <f>HYPERLINK("https://diamdna.azureedge.net/imaged/bec-39/video.mp4 ","Download")</f>
        <v>Download</v>
      </c>
      <c r="AY117" s="13" t="s">
        <v>163</v>
      </c>
      <c r="AZ117" s="13" t="str">
        <f>HYPERLINK("https://diamdna.azureedge.net/reports/260000054466.pdf#zoom=150 ","260000054466")</f>
        <v>260000054466</v>
      </c>
      <c r="BA117" s="13" t="s">
        <v>43</v>
      </c>
      <c r="BB117" s="13">
        <v>2</v>
      </c>
      <c r="BC117" s="14" t="s">
        <v>44</v>
      </c>
      <c r="BD117" s="13" t="s">
        <v>60</v>
      </c>
      <c r="BE117" s="13">
        <v>6300</v>
      </c>
      <c r="BF117" s="14">
        <v>12600</v>
      </c>
      <c r="BG117" s="14">
        <v>-72.5</v>
      </c>
      <c r="BH117" s="14">
        <v>1732.5</v>
      </c>
      <c r="BI117" s="14">
        <v>3465</v>
      </c>
      <c r="BJ117" s="14" t="s">
        <v>120</v>
      </c>
      <c r="BK117" s="13" t="s">
        <v>120</v>
      </c>
      <c r="BL117" s="13" t="s">
        <v>120</v>
      </c>
      <c r="BM117" s="13" t="s">
        <v>47</v>
      </c>
      <c r="BN117" s="13" t="s">
        <v>526</v>
      </c>
      <c r="BO117" s="13">
        <v>56</v>
      </c>
      <c r="BP117" s="14">
        <v>64.599999999999994</v>
      </c>
      <c r="BQ117" s="14" t="s">
        <v>165</v>
      </c>
      <c r="BR117" s="13">
        <v>38.200000000000003</v>
      </c>
      <c r="BS117" s="14">
        <v>17.5</v>
      </c>
      <c r="BT117" s="14">
        <v>40.200000000000003</v>
      </c>
      <c r="BU117" s="14">
        <v>42.5</v>
      </c>
      <c r="BV117" s="14"/>
      <c r="BW117" s="13" t="s">
        <v>50</v>
      </c>
      <c r="BX117" s="13" t="s">
        <v>142</v>
      </c>
      <c r="BY117" s="13">
        <v>5</v>
      </c>
      <c r="BZ117" s="14">
        <v>1.01</v>
      </c>
      <c r="CA117" s="14" t="s">
        <v>376</v>
      </c>
      <c r="CB117" s="13" t="s">
        <v>54</v>
      </c>
      <c r="CC117" s="13"/>
      <c r="CD117" s="13" t="s">
        <v>54</v>
      </c>
      <c r="CE117" s="13" t="s">
        <v>93</v>
      </c>
      <c r="CF117" s="13" t="s">
        <v>339</v>
      </c>
      <c r="CG117" s="13" t="s">
        <v>57</v>
      </c>
      <c r="CH117" s="13" t="s">
        <v>491</v>
      </c>
    </row>
    <row r="118" spans="21:86" x14ac:dyDescent="0.3">
      <c r="U118" s="13" t="s">
        <v>527</v>
      </c>
      <c r="V118" s="13" t="str">
        <f>HYPERLINK("https://diamdna.azureedge.net/imaged/kj25-5/still.jpg ","Image")</f>
        <v>Image</v>
      </c>
      <c r="W118" s="13" t="str">
        <f>HYPERLINK("https://diamdna.azureedge.net/Vision360.html?d=kj25-5&amp;sr=-30&amp;s=30 ","Video")</f>
        <v>Video</v>
      </c>
      <c r="X118" s="13" t="str">
        <f>HYPERLINK("https://diamdna.azureedge.net/imaged/kj25-5/video.mp4 ","Download")</f>
        <v>Download</v>
      </c>
      <c r="Y118" s="13" t="s">
        <v>42</v>
      </c>
      <c r="Z118" s="13" t="str">
        <f>HYPERLINK("https://diamdna.azureedge.net/reports/6542250267.pdf#zoom=150 ","6542250267")</f>
        <v>6542250267</v>
      </c>
      <c r="AA118" s="13" t="s">
        <v>68</v>
      </c>
      <c r="AB118" s="13">
        <v>2</v>
      </c>
      <c r="AC118" s="14" t="s">
        <v>194</v>
      </c>
      <c r="AD118" s="13" t="s">
        <v>125</v>
      </c>
      <c r="AE118" s="13">
        <v>16000</v>
      </c>
      <c r="AF118" s="14">
        <v>32000</v>
      </c>
      <c r="AG118" s="14">
        <v>-51.5</v>
      </c>
      <c r="AH118" s="14">
        <v>7760</v>
      </c>
      <c r="AI118" s="14">
        <v>15520</v>
      </c>
      <c r="AJ118" s="14" t="s">
        <v>50</v>
      </c>
      <c r="AK118" s="13" t="s">
        <v>46</v>
      </c>
      <c r="AL118" s="13" t="s">
        <v>46</v>
      </c>
      <c r="AM118" s="13" t="s">
        <v>134</v>
      </c>
      <c r="AN118" s="13" t="s">
        <v>528</v>
      </c>
      <c r="AO118" s="13">
        <v>67</v>
      </c>
      <c r="AP118" s="14">
        <v>66.8</v>
      </c>
      <c r="AQ118" s="14" t="s">
        <v>49</v>
      </c>
      <c r="AR118" s="13">
        <v>0</v>
      </c>
      <c r="AS118" s="14">
        <v>0</v>
      </c>
      <c r="AT118" s="14">
        <v>0</v>
      </c>
      <c r="AU118" s="13" t="s">
        <v>527</v>
      </c>
      <c r="AV118" s="13" t="str">
        <f>HYPERLINK("https://diamdna.azureedge.net/imaged/kj25-5/still.jpg ","Image")</f>
        <v>Image</v>
      </c>
      <c r="AW118" s="13" t="str">
        <f>HYPERLINK("https://diamdna.azureedge.net/Vision360.html?d=kj25-5&amp;sr=-30&amp;s=30 ","Video")</f>
        <v>Video</v>
      </c>
      <c r="AX118" s="13" t="str">
        <f>HYPERLINK("https://diamdna.azureedge.net/imaged/kj25-5/video.mp4 ","Download")</f>
        <v>Download</v>
      </c>
      <c r="AY118" s="13" t="s">
        <v>42</v>
      </c>
      <c r="AZ118" s="13" t="str">
        <f>HYPERLINK("https://diamdna.azureedge.net/reports/6542250267.pdf#zoom=150 ","6542250267")</f>
        <v>6542250267</v>
      </c>
      <c r="BA118" s="13" t="s">
        <v>68</v>
      </c>
      <c r="BB118" s="13">
        <v>2</v>
      </c>
      <c r="BC118" s="14" t="s">
        <v>194</v>
      </c>
      <c r="BD118" s="13" t="s">
        <v>125</v>
      </c>
      <c r="BE118" s="13">
        <v>16000</v>
      </c>
      <c r="BF118" s="14">
        <v>32000</v>
      </c>
      <c r="BG118" s="14">
        <v>-51.5</v>
      </c>
      <c r="BH118" s="14">
        <v>7760</v>
      </c>
      <c r="BI118" s="14">
        <v>15520</v>
      </c>
      <c r="BJ118" s="14" t="s">
        <v>50</v>
      </c>
      <c r="BK118" s="13" t="s">
        <v>46</v>
      </c>
      <c r="BL118" s="13" t="s">
        <v>46</v>
      </c>
      <c r="BM118" s="13" t="s">
        <v>134</v>
      </c>
      <c r="BN118" s="13" t="s">
        <v>528</v>
      </c>
      <c r="BO118" s="13">
        <v>67</v>
      </c>
      <c r="BP118" s="14">
        <v>66.8</v>
      </c>
      <c r="BQ118" s="14" t="s">
        <v>49</v>
      </c>
      <c r="BR118" s="13">
        <v>0</v>
      </c>
      <c r="BS118" s="14">
        <v>0</v>
      </c>
      <c r="BT118" s="14">
        <v>0</v>
      </c>
      <c r="BU118" s="14">
        <v>0</v>
      </c>
      <c r="BV118" s="14" t="s">
        <v>529</v>
      </c>
      <c r="BW118" s="13" t="s">
        <v>50</v>
      </c>
      <c r="BX118" s="13" t="s">
        <v>72</v>
      </c>
      <c r="BY118" s="13">
        <v>3.6</v>
      </c>
      <c r="BZ118" s="14">
        <v>1.47</v>
      </c>
      <c r="CA118" s="14" t="s">
        <v>197</v>
      </c>
      <c r="CB118" s="13" t="s">
        <v>54</v>
      </c>
      <c r="CC118" s="13" t="s">
        <v>129</v>
      </c>
      <c r="CD118" s="13" t="s">
        <v>54</v>
      </c>
      <c r="CE118" s="13" t="s">
        <v>110</v>
      </c>
      <c r="CF118" s="13" t="s">
        <v>56</v>
      </c>
      <c r="CG118" s="13" t="s">
        <v>57</v>
      </c>
      <c r="CH118" s="13" t="s">
        <v>530</v>
      </c>
    </row>
    <row r="119" spans="21:86" x14ac:dyDescent="0.3">
      <c r="U119" s="13" t="s">
        <v>531</v>
      </c>
      <c r="V119" s="13" t="str">
        <f>HYPERLINK("https://diamdna.azureedge.net/imaged/bcy-1/still.jpg ","Image")</f>
        <v>Image</v>
      </c>
      <c r="W119" s="13" t="str">
        <f>HYPERLINK("https://diamdna.azureedge.net/Vision360.html?d=bcy-1&amp;sr=-30&amp;s=30 ","Video")</f>
        <v>Video</v>
      </c>
      <c r="X119" s="13" t="str">
        <f>HYPERLINK("https://diamdna.azureedge.net/imaged/bcy-1/video.mp4 ","Download")</f>
        <v>Download</v>
      </c>
      <c r="Y119" s="13" t="s">
        <v>42</v>
      </c>
      <c r="Z119" s="13" t="str">
        <f>HYPERLINK("https://diamdna.azureedge.net/reports/2547177107.pdf#zoom=150 ","2547177107")</f>
        <v>2547177107</v>
      </c>
      <c r="AA119" s="13" t="s">
        <v>68</v>
      </c>
      <c r="AB119" s="13">
        <v>2</v>
      </c>
      <c r="AC119" s="14" t="s">
        <v>119</v>
      </c>
      <c r="AD119" s="13" t="s">
        <v>60</v>
      </c>
      <c r="AE119" s="13">
        <v>8200</v>
      </c>
      <c r="AF119" s="14">
        <v>16400</v>
      </c>
      <c r="AG119" s="14">
        <v>-57</v>
      </c>
      <c r="AH119" s="14">
        <v>3526</v>
      </c>
      <c r="AI119" s="14">
        <v>7052</v>
      </c>
      <c r="AJ119" s="14" t="s">
        <v>50</v>
      </c>
      <c r="AK119" s="13" t="s">
        <v>46</v>
      </c>
      <c r="AL119" s="13" t="s">
        <v>120</v>
      </c>
      <c r="AM119" s="13" t="s">
        <v>47</v>
      </c>
      <c r="AN119" s="13" t="s">
        <v>532</v>
      </c>
      <c r="AO119" s="13">
        <v>67</v>
      </c>
      <c r="AP119" s="14">
        <v>63.5</v>
      </c>
      <c r="AQ119" s="14" t="s">
        <v>49</v>
      </c>
      <c r="AR119" s="13">
        <v>45.4</v>
      </c>
      <c r="AS119" s="14">
        <v>0</v>
      </c>
      <c r="AT119" s="14">
        <v>0</v>
      </c>
      <c r="AU119" s="13" t="s">
        <v>531</v>
      </c>
      <c r="AV119" s="13" t="str">
        <f>HYPERLINK("https://diamdna.azureedge.net/imaged/bcy-1/still.jpg ","Image")</f>
        <v>Image</v>
      </c>
      <c r="AW119" s="13" t="str">
        <f>HYPERLINK("https://diamdna.azureedge.net/Vision360.html?d=bcy-1&amp;sr=-30&amp;s=30 ","Video")</f>
        <v>Video</v>
      </c>
      <c r="AX119" s="13" t="str">
        <f>HYPERLINK("https://diamdna.azureedge.net/imaged/bcy-1/video.mp4 ","Download")</f>
        <v>Download</v>
      </c>
      <c r="AY119" s="13" t="s">
        <v>42</v>
      </c>
      <c r="AZ119" s="13" t="str">
        <f>HYPERLINK("https://diamdna.azureedge.net/reports/2547177107.pdf#zoom=150 ","2547177107")</f>
        <v>2547177107</v>
      </c>
      <c r="BA119" s="13" t="s">
        <v>68</v>
      </c>
      <c r="BB119" s="13">
        <v>2</v>
      </c>
      <c r="BC119" s="14" t="s">
        <v>119</v>
      </c>
      <c r="BD119" s="13" t="s">
        <v>60</v>
      </c>
      <c r="BE119" s="13">
        <v>8200</v>
      </c>
      <c r="BF119" s="14">
        <v>16400</v>
      </c>
      <c r="BG119" s="14">
        <v>-57</v>
      </c>
      <c r="BH119" s="14">
        <v>3526</v>
      </c>
      <c r="BI119" s="14">
        <v>7052</v>
      </c>
      <c r="BJ119" s="14" t="s">
        <v>50</v>
      </c>
      <c r="BK119" s="13" t="s">
        <v>46</v>
      </c>
      <c r="BL119" s="13" t="s">
        <v>120</v>
      </c>
      <c r="BM119" s="13" t="s">
        <v>47</v>
      </c>
      <c r="BN119" s="13" t="s">
        <v>532</v>
      </c>
      <c r="BO119" s="13">
        <v>67</v>
      </c>
      <c r="BP119" s="14">
        <v>63.5</v>
      </c>
      <c r="BQ119" s="14" t="s">
        <v>49</v>
      </c>
      <c r="BR119" s="13">
        <v>45.4</v>
      </c>
      <c r="BS119" s="14">
        <v>0</v>
      </c>
      <c r="BT119" s="14">
        <v>0</v>
      </c>
      <c r="BU119" s="14">
        <v>0</v>
      </c>
      <c r="BV119" s="14" t="s">
        <v>533</v>
      </c>
      <c r="BW119" s="13" t="s">
        <v>50</v>
      </c>
      <c r="BX119" s="13" t="s">
        <v>72</v>
      </c>
      <c r="BY119" s="13">
        <v>3.6</v>
      </c>
      <c r="BZ119" s="14">
        <v>1.62</v>
      </c>
      <c r="CA119" s="14" t="s">
        <v>52</v>
      </c>
      <c r="CB119" s="13" t="s">
        <v>54</v>
      </c>
      <c r="CC119" s="13" t="s">
        <v>64</v>
      </c>
      <c r="CD119" s="13" t="s">
        <v>54</v>
      </c>
      <c r="CE119" s="13" t="s">
        <v>110</v>
      </c>
      <c r="CF119" s="13" t="s">
        <v>56</v>
      </c>
      <c r="CG119" s="13" t="s">
        <v>65</v>
      </c>
      <c r="CH119" s="13" t="s">
        <v>514</v>
      </c>
    </row>
    <row r="120" spans="21:86" x14ac:dyDescent="0.3">
      <c r="U120" s="13" t="s">
        <v>534</v>
      </c>
      <c r="V120" s="13" t="str">
        <f>HYPERLINK("https://diamdna.azureedge.net/imaged/km25-8/still.jpg ","Image")</f>
        <v>Image</v>
      </c>
      <c r="W120" s="13" t="str">
        <f>HYPERLINK("https://diamdna.azureedge.net/Vision360.html?d=km25-8&amp;sr=-30&amp;s=30 ","Video")</f>
        <v>Video</v>
      </c>
      <c r="X120" s="13" t="str">
        <f>HYPERLINK("https://diamdna.azureedge.net/imaged/km25-8/video.mp4 ","Download")</f>
        <v>Download</v>
      </c>
      <c r="Y120" s="13" t="s">
        <v>42</v>
      </c>
      <c r="Z120" s="13" t="str">
        <f>HYPERLINK("https://diamdna.azureedge.net/reports/6542178357.pdf#zoom=150 ","6542178357")</f>
        <v>6542178357</v>
      </c>
      <c r="AA120" s="13" t="s">
        <v>308</v>
      </c>
      <c r="AB120" s="13">
        <v>2</v>
      </c>
      <c r="AC120" s="14" t="s">
        <v>288</v>
      </c>
      <c r="AD120" s="13" t="s">
        <v>133</v>
      </c>
      <c r="AE120" s="13">
        <v>10700</v>
      </c>
      <c r="AF120" s="14">
        <v>21400</v>
      </c>
      <c r="AG120" s="14">
        <v>-67</v>
      </c>
      <c r="AH120" s="14">
        <v>3531</v>
      </c>
      <c r="AI120" s="14">
        <v>7062</v>
      </c>
      <c r="AJ120" s="14" t="s">
        <v>50</v>
      </c>
      <c r="AK120" s="13" t="s">
        <v>46</v>
      </c>
      <c r="AL120" s="13" t="s">
        <v>46</v>
      </c>
      <c r="AM120" s="13" t="s">
        <v>134</v>
      </c>
      <c r="AN120" s="13" t="s">
        <v>535</v>
      </c>
      <c r="AO120" s="13">
        <v>67</v>
      </c>
      <c r="AP120" s="14">
        <v>67.400000000000006</v>
      </c>
      <c r="AQ120" s="14" t="s">
        <v>49</v>
      </c>
      <c r="AR120" s="13">
        <v>0</v>
      </c>
      <c r="AS120" s="14">
        <v>0</v>
      </c>
      <c r="AT120" s="14">
        <v>0</v>
      </c>
      <c r="AU120" s="13" t="s">
        <v>534</v>
      </c>
      <c r="AV120" s="13" t="str">
        <f>HYPERLINK("https://diamdna.azureedge.net/imaged/km25-8/still.jpg ","Image")</f>
        <v>Image</v>
      </c>
      <c r="AW120" s="13" t="str">
        <f>HYPERLINK("https://diamdna.azureedge.net/Vision360.html?d=km25-8&amp;sr=-30&amp;s=30 ","Video")</f>
        <v>Video</v>
      </c>
      <c r="AX120" s="13" t="str">
        <f>HYPERLINK("https://diamdna.azureedge.net/imaged/km25-8/video.mp4 ","Download")</f>
        <v>Download</v>
      </c>
      <c r="AY120" s="13" t="s">
        <v>42</v>
      </c>
      <c r="AZ120" s="13" t="str">
        <f>HYPERLINK("https://diamdna.azureedge.net/reports/6542178357.pdf#zoom=150 ","6542178357")</f>
        <v>6542178357</v>
      </c>
      <c r="BA120" s="13" t="s">
        <v>308</v>
      </c>
      <c r="BB120" s="13">
        <v>2</v>
      </c>
      <c r="BC120" s="14" t="s">
        <v>288</v>
      </c>
      <c r="BD120" s="13" t="s">
        <v>133</v>
      </c>
      <c r="BE120" s="13">
        <v>10700</v>
      </c>
      <c r="BF120" s="14">
        <v>21400</v>
      </c>
      <c r="BG120" s="14">
        <v>-67</v>
      </c>
      <c r="BH120" s="14">
        <v>3531</v>
      </c>
      <c r="BI120" s="14">
        <v>7062</v>
      </c>
      <c r="BJ120" s="14" t="s">
        <v>50</v>
      </c>
      <c r="BK120" s="13" t="s">
        <v>46</v>
      </c>
      <c r="BL120" s="13" t="s">
        <v>46</v>
      </c>
      <c r="BM120" s="13" t="s">
        <v>134</v>
      </c>
      <c r="BN120" s="13" t="s">
        <v>535</v>
      </c>
      <c r="BO120" s="13">
        <v>67</v>
      </c>
      <c r="BP120" s="14">
        <v>67.400000000000006</v>
      </c>
      <c r="BQ120" s="14" t="s">
        <v>49</v>
      </c>
      <c r="BR120" s="13">
        <v>0</v>
      </c>
      <c r="BS120" s="14">
        <v>0</v>
      </c>
      <c r="BT120" s="14">
        <v>0</v>
      </c>
      <c r="BU120" s="14">
        <v>0</v>
      </c>
      <c r="BV120" s="14" t="s">
        <v>536</v>
      </c>
      <c r="BW120" s="13" t="s">
        <v>50</v>
      </c>
      <c r="BX120" s="13" t="s">
        <v>311</v>
      </c>
      <c r="BY120" s="13">
        <v>3.6</v>
      </c>
      <c r="BZ120" s="14">
        <v>1.01</v>
      </c>
      <c r="CA120" s="14" t="s">
        <v>99</v>
      </c>
      <c r="CB120" s="13" t="s">
        <v>54</v>
      </c>
      <c r="CC120" s="13" t="s">
        <v>203</v>
      </c>
      <c r="CD120" s="13" t="s">
        <v>54</v>
      </c>
      <c r="CE120" s="13" t="s">
        <v>110</v>
      </c>
      <c r="CF120" s="13" t="s">
        <v>56</v>
      </c>
      <c r="CG120" s="13" t="s">
        <v>57</v>
      </c>
      <c r="CH120" s="13" t="s">
        <v>410</v>
      </c>
    </row>
    <row r="121" spans="21:86" x14ac:dyDescent="0.3">
      <c r="U121" s="13" t="s">
        <v>537</v>
      </c>
      <c r="V121" s="13" t="str">
        <f>HYPERLINK("https://diamdna.azureedge.net/imaged/km25-15/still.jpg ","Image")</f>
        <v>Image</v>
      </c>
      <c r="W121" s="13" t="str">
        <f>HYPERLINK("https://diamdna.azureedge.net/Vision360.html?d=km25-15&amp;sr=-30&amp;s=30 ","Video")</f>
        <v>Video</v>
      </c>
      <c r="X121" s="13" t="str">
        <f>HYPERLINK("https://diamdna.azureedge.net/imaged/km25-15/video.mp4 ","Download")</f>
        <v>Download</v>
      </c>
      <c r="Y121" s="13" t="s">
        <v>42</v>
      </c>
      <c r="Z121" s="13" t="str">
        <f>HYPERLINK("https://diamdna.azureedge.net/reports/5543225407.pdf#zoom=150 ","5543225407")</f>
        <v>5543225407</v>
      </c>
      <c r="AA121" s="13" t="s">
        <v>308</v>
      </c>
      <c r="AB121" s="13">
        <v>2</v>
      </c>
      <c r="AC121" s="14" t="s">
        <v>44</v>
      </c>
      <c r="AD121" s="13" t="s">
        <v>125</v>
      </c>
      <c r="AE121" s="13">
        <v>8100</v>
      </c>
      <c r="AF121" s="14">
        <v>16200</v>
      </c>
      <c r="AG121" s="14">
        <v>-68.5</v>
      </c>
      <c r="AH121" s="14">
        <v>2551.5</v>
      </c>
      <c r="AI121" s="14">
        <v>5103</v>
      </c>
      <c r="AJ121" s="14" t="s">
        <v>50</v>
      </c>
      <c r="AK121" s="13" t="s">
        <v>46</v>
      </c>
      <c r="AL121" s="13" t="s">
        <v>46</v>
      </c>
      <c r="AM121" s="13" t="s">
        <v>134</v>
      </c>
      <c r="AN121" s="13" t="s">
        <v>538</v>
      </c>
      <c r="AO121" s="13">
        <v>67</v>
      </c>
      <c r="AP121" s="14">
        <v>67.5</v>
      </c>
      <c r="AQ121" s="14" t="s">
        <v>49</v>
      </c>
      <c r="AR121" s="13">
        <v>0</v>
      </c>
      <c r="AS121" s="14">
        <v>0</v>
      </c>
      <c r="AT121" s="14">
        <v>0</v>
      </c>
      <c r="AU121" s="13" t="s">
        <v>537</v>
      </c>
      <c r="AV121" s="13" t="str">
        <f>HYPERLINK("https://diamdna.azureedge.net/imaged/km25-15/still.jpg ","Image")</f>
        <v>Image</v>
      </c>
      <c r="AW121" s="13" t="str">
        <f>HYPERLINK("https://diamdna.azureedge.net/Vision360.html?d=km25-15&amp;sr=-30&amp;s=30 ","Video")</f>
        <v>Video</v>
      </c>
      <c r="AX121" s="13" t="str">
        <f>HYPERLINK("https://diamdna.azureedge.net/imaged/km25-15/video.mp4 ","Download")</f>
        <v>Download</v>
      </c>
      <c r="AY121" s="13" t="s">
        <v>42</v>
      </c>
      <c r="AZ121" s="13" t="str">
        <f>HYPERLINK("https://diamdna.azureedge.net/reports/5543225407.pdf#zoom=150 ","5543225407")</f>
        <v>5543225407</v>
      </c>
      <c r="BA121" s="13" t="s">
        <v>308</v>
      </c>
      <c r="BB121" s="13">
        <v>2</v>
      </c>
      <c r="BC121" s="14" t="s">
        <v>44</v>
      </c>
      <c r="BD121" s="13" t="s">
        <v>125</v>
      </c>
      <c r="BE121" s="13">
        <v>8100</v>
      </c>
      <c r="BF121" s="14">
        <v>16200</v>
      </c>
      <c r="BG121" s="14">
        <v>-68.5</v>
      </c>
      <c r="BH121" s="14">
        <v>2551.5</v>
      </c>
      <c r="BI121" s="14">
        <v>5103</v>
      </c>
      <c r="BJ121" s="14" t="s">
        <v>50</v>
      </c>
      <c r="BK121" s="13" t="s">
        <v>46</v>
      </c>
      <c r="BL121" s="13" t="s">
        <v>46</v>
      </c>
      <c r="BM121" s="13" t="s">
        <v>134</v>
      </c>
      <c r="BN121" s="13" t="s">
        <v>538</v>
      </c>
      <c r="BO121" s="13">
        <v>67</v>
      </c>
      <c r="BP121" s="14">
        <v>67.5</v>
      </c>
      <c r="BQ121" s="14" t="s">
        <v>49</v>
      </c>
      <c r="BR121" s="13">
        <v>0</v>
      </c>
      <c r="BS121" s="14">
        <v>0</v>
      </c>
      <c r="BT121" s="14">
        <v>0</v>
      </c>
      <c r="BU121" s="14">
        <v>0</v>
      </c>
      <c r="BV121" s="14" t="s">
        <v>539</v>
      </c>
      <c r="BW121" s="13" t="s">
        <v>50</v>
      </c>
      <c r="BX121" s="13" t="s">
        <v>51</v>
      </c>
      <c r="BY121" s="13">
        <v>3.35</v>
      </c>
      <c r="BZ121" s="14">
        <v>1.02</v>
      </c>
      <c r="CA121" s="14" t="s">
        <v>52</v>
      </c>
      <c r="CB121" s="13" t="s">
        <v>54</v>
      </c>
      <c r="CC121" s="13" t="s">
        <v>129</v>
      </c>
      <c r="CD121" s="13" t="s">
        <v>54</v>
      </c>
      <c r="CE121" s="13" t="s">
        <v>110</v>
      </c>
      <c r="CF121" s="13" t="s">
        <v>56</v>
      </c>
      <c r="CG121" s="13" t="s">
        <v>130</v>
      </c>
      <c r="CH121" s="13" t="s">
        <v>540</v>
      </c>
    </row>
    <row r="122" spans="21:86" x14ac:dyDescent="0.3">
      <c r="U122" s="13" t="s">
        <v>541</v>
      </c>
      <c r="V122" s="13" t="str">
        <f>HYPERLINK("https://diamdna.azureedge.net/imaged/mk26-73/still.jpg ","Image")</f>
        <v>Image</v>
      </c>
      <c r="W122" s="13" t="str">
        <f>HYPERLINK("https://diamdna.azureedge.net/Vision360.html?d=mk26-73&amp;sr=-30&amp;s=30 ","Video")</f>
        <v>Video</v>
      </c>
      <c r="X122" s="13" t="str">
        <f>HYPERLINK("https://diamdna.azureedge.net/imaged/mk26-73/video.mp4 ","Download")</f>
        <v>Download</v>
      </c>
      <c r="Y122" s="13" t="s">
        <v>163</v>
      </c>
      <c r="Z122" s="13" t="str">
        <f>HYPERLINK("https://diamdna.azureedge.net/reports/260000046116.pdf#zoom=150 ","260000046116")</f>
        <v>260000046116</v>
      </c>
      <c r="AA122" s="13" t="s">
        <v>146</v>
      </c>
      <c r="AB122" s="13">
        <v>2</v>
      </c>
      <c r="AC122" s="14" t="s">
        <v>96</v>
      </c>
      <c r="AD122" s="13" t="s">
        <v>60</v>
      </c>
      <c r="AE122" s="13">
        <v>9600</v>
      </c>
      <c r="AF122" s="14">
        <v>19200</v>
      </c>
      <c r="AG122" s="14">
        <v>-67.5</v>
      </c>
      <c r="AH122" s="14">
        <v>3120</v>
      </c>
      <c r="AI122" s="14">
        <v>6240</v>
      </c>
      <c r="AJ122" s="14" t="s">
        <v>50</v>
      </c>
      <c r="AK122" s="13" t="s">
        <v>46</v>
      </c>
      <c r="AL122" s="13" t="s">
        <v>46</v>
      </c>
      <c r="AM122" s="13" t="s">
        <v>87</v>
      </c>
      <c r="AN122" s="13" t="s">
        <v>542</v>
      </c>
      <c r="AO122" s="13">
        <v>58</v>
      </c>
      <c r="AP122" s="14">
        <v>67.3</v>
      </c>
      <c r="AQ122" s="14" t="s">
        <v>165</v>
      </c>
      <c r="AR122" s="13">
        <v>0</v>
      </c>
      <c r="AS122" s="14">
        <v>17</v>
      </c>
      <c r="AT122" s="14">
        <v>0</v>
      </c>
      <c r="AU122" s="13" t="s">
        <v>541</v>
      </c>
      <c r="AV122" s="13" t="str">
        <f>HYPERLINK("https://diamdna.azureedge.net/imaged/mk26-73/still.jpg ","Image")</f>
        <v>Image</v>
      </c>
      <c r="AW122" s="13" t="str">
        <f>HYPERLINK("https://diamdna.azureedge.net/Vision360.html?d=mk26-73&amp;sr=-30&amp;s=30 ","Video")</f>
        <v>Video</v>
      </c>
      <c r="AX122" s="13" t="str">
        <f>HYPERLINK("https://diamdna.azureedge.net/imaged/mk26-73/video.mp4 ","Download")</f>
        <v>Download</v>
      </c>
      <c r="AY122" s="13" t="s">
        <v>163</v>
      </c>
      <c r="AZ122" s="13" t="str">
        <f>HYPERLINK("https://diamdna.azureedge.net/reports/260000046116.pdf#zoom=150 ","260000046116")</f>
        <v>260000046116</v>
      </c>
      <c r="BA122" s="13" t="s">
        <v>146</v>
      </c>
      <c r="BB122" s="13">
        <v>2</v>
      </c>
      <c r="BC122" s="14" t="s">
        <v>96</v>
      </c>
      <c r="BD122" s="13" t="s">
        <v>60</v>
      </c>
      <c r="BE122" s="13">
        <v>9600</v>
      </c>
      <c r="BF122" s="14">
        <v>19200</v>
      </c>
      <c r="BG122" s="14">
        <v>-67.5</v>
      </c>
      <c r="BH122" s="14">
        <v>3120</v>
      </c>
      <c r="BI122" s="14">
        <v>6240</v>
      </c>
      <c r="BJ122" s="14" t="s">
        <v>50</v>
      </c>
      <c r="BK122" s="13" t="s">
        <v>46</v>
      </c>
      <c r="BL122" s="13" t="s">
        <v>46</v>
      </c>
      <c r="BM122" s="13" t="s">
        <v>87</v>
      </c>
      <c r="BN122" s="13" t="s">
        <v>542</v>
      </c>
      <c r="BO122" s="13">
        <v>58</v>
      </c>
      <c r="BP122" s="14">
        <v>67.3</v>
      </c>
      <c r="BQ122" s="14" t="s">
        <v>165</v>
      </c>
      <c r="BR122" s="13">
        <v>0</v>
      </c>
      <c r="BS122" s="14">
        <v>17</v>
      </c>
      <c r="BT122" s="14">
        <v>0</v>
      </c>
      <c r="BU122" s="14">
        <v>43</v>
      </c>
      <c r="BV122" s="14"/>
      <c r="BW122" s="13" t="s">
        <v>50</v>
      </c>
      <c r="BX122" s="13" t="s">
        <v>364</v>
      </c>
      <c r="BY122" s="13">
        <v>7.5</v>
      </c>
      <c r="BZ122" s="14">
        <v>1.51</v>
      </c>
      <c r="CA122" s="14" t="s">
        <v>376</v>
      </c>
      <c r="CB122" s="13" t="s">
        <v>54</v>
      </c>
      <c r="CC122" s="13"/>
      <c r="CD122" s="13" t="s">
        <v>54</v>
      </c>
      <c r="CE122" s="13" t="s">
        <v>143</v>
      </c>
      <c r="CF122" s="13" t="s">
        <v>56</v>
      </c>
      <c r="CG122" s="13" t="s">
        <v>57</v>
      </c>
      <c r="CH122" s="13" t="s">
        <v>543</v>
      </c>
    </row>
    <row r="123" spans="21:86" x14ac:dyDescent="0.3">
      <c r="U123" s="13" t="s">
        <v>544</v>
      </c>
      <c r="V123" s="13" t="str">
        <f>HYPERLINK("https://diamdna.azureedge.net/imaged/zi-1801/still.jpg ","Image")</f>
        <v>Image</v>
      </c>
      <c r="W123" s="13" t="str">
        <f>HYPERLINK("https://diamdna.azureedge.net/Vision360.html?d=zi-1801&amp;sr=-30&amp;s=30 ","Video")</f>
        <v>Video</v>
      </c>
      <c r="X123" s="13" t="str">
        <f>HYPERLINK("https://diamdna.azureedge.net/imaged/zi-1801/video.mp4 ","Download")</f>
        <v>Download</v>
      </c>
      <c r="Y123" s="13" t="s">
        <v>42</v>
      </c>
      <c r="Z123" s="13" t="str">
        <f>HYPERLINK("https://diamdna.azureedge.net/reports/7541585096.pdf#zoom=150 ","7541585096")</f>
        <v>7541585096</v>
      </c>
      <c r="AA123" s="13" t="s">
        <v>193</v>
      </c>
      <c r="AB123" s="13">
        <v>2</v>
      </c>
      <c r="AC123" s="14" t="s">
        <v>69</v>
      </c>
      <c r="AD123" s="13" t="s">
        <v>147</v>
      </c>
      <c r="AE123" s="13">
        <v>10400</v>
      </c>
      <c r="AF123" s="14">
        <v>20800</v>
      </c>
      <c r="AG123" s="14">
        <v>-9</v>
      </c>
      <c r="AH123" s="14">
        <v>9464</v>
      </c>
      <c r="AI123" s="14">
        <v>18928</v>
      </c>
      <c r="AJ123" s="14" t="s">
        <v>50</v>
      </c>
      <c r="AK123" s="13" t="s">
        <v>46</v>
      </c>
      <c r="AL123" s="13" t="s">
        <v>46</v>
      </c>
      <c r="AM123" s="13" t="s">
        <v>49</v>
      </c>
      <c r="AN123" s="13" t="s">
        <v>545</v>
      </c>
      <c r="AO123" s="13">
        <v>55</v>
      </c>
      <c r="AP123" s="14">
        <v>65.2</v>
      </c>
      <c r="AQ123" s="14" t="s">
        <v>49</v>
      </c>
      <c r="AR123" s="13">
        <v>0</v>
      </c>
      <c r="AS123" s="14">
        <v>0</v>
      </c>
      <c r="AT123" s="14">
        <v>0</v>
      </c>
      <c r="AU123" s="13" t="s">
        <v>544</v>
      </c>
      <c r="AV123" s="13" t="str">
        <f>HYPERLINK("https://diamdna.azureedge.net/imaged/zi-1801/still.jpg ","Image")</f>
        <v>Image</v>
      </c>
      <c r="AW123" s="13" t="str">
        <f>HYPERLINK("https://diamdna.azureedge.net/Vision360.html?d=zi-1801&amp;sr=-30&amp;s=30 ","Video")</f>
        <v>Video</v>
      </c>
      <c r="AX123" s="13" t="str">
        <f>HYPERLINK("https://diamdna.azureedge.net/imaged/zi-1801/video.mp4 ","Download")</f>
        <v>Download</v>
      </c>
      <c r="AY123" s="13" t="s">
        <v>42</v>
      </c>
      <c r="AZ123" s="13" t="str">
        <f>HYPERLINK("https://diamdna.azureedge.net/reports/7541585096.pdf#zoom=150 ","7541585096")</f>
        <v>7541585096</v>
      </c>
      <c r="BA123" s="13" t="s">
        <v>193</v>
      </c>
      <c r="BB123" s="13">
        <v>2</v>
      </c>
      <c r="BC123" s="14" t="s">
        <v>69</v>
      </c>
      <c r="BD123" s="13" t="s">
        <v>147</v>
      </c>
      <c r="BE123" s="13">
        <v>10400</v>
      </c>
      <c r="BF123" s="14">
        <v>20800</v>
      </c>
      <c r="BG123" s="14">
        <v>-9</v>
      </c>
      <c r="BH123" s="14">
        <v>9464</v>
      </c>
      <c r="BI123" s="14">
        <v>18928</v>
      </c>
      <c r="BJ123" s="14" t="s">
        <v>50</v>
      </c>
      <c r="BK123" s="13" t="s">
        <v>46</v>
      </c>
      <c r="BL123" s="13" t="s">
        <v>46</v>
      </c>
      <c r="BM123" s="13" t="s">
        <v>49</v>
      </c>
      <c r="BN123" s="13" t="s">
        <v>545</v>
      </c>
      <c r="BO123" s="13">
        <v>55</v>
      </c>
      <c r="BP123" s="14">
        <v>65.2</v>
      </c>
      <c r="BQ123" s="14" t="s">
        <v>49</v>
      </c>
      <c r="BR123" s="13">
        <v>0</v>
      </c>
      <c r="BS123" s="14">
        <v>0</v>
      </c>
      <c r="BT123" s="14">
        <v>0</v>
      </c>
      <c r="BU123" s="14">
        <v>0</v>
      </c>
      <c r="BV123" s="14" t="s">
        <v>546</v>
      </c>
      <c r="BW123" s="13" t="s">
        <v>50</v>
      </c>
      <c r="BX123" s="13" t="s">
        <v>202</v>
      </c>
      <c r="BY123" s="13">
        <v>0</v>
      </c>
      <c r="BZ123" s="14">
        <v>1.9</v>
      </c>
      <c r="CA123" s="14" t="s">
        <v>52</v>
      </c>
      <c r="CB123" s="13" t="s">
        <v>54</v>
      </c>
      <c r="CC123" s="13"/>
      <c r="CD123" s="13" t="s">
        <v>54</v>
      </c>
      <c r="CE123" s="13" t="s">
        <v>93</v>
      </c>
      <c r="CF123" s="13" t="s">
        <v>56</v>
      </c>
      <c r="CG123" s="13" t="s">
        <v>130</v>
      </c>
      <c r="CH123" s="13" t="s">
        <v>249</v>
      </c>
    </row>
    <row r="124" spans="21:86" x14ac:dyDescent="0.3">
      <c r="U124" s="13" t="s">
        <v>547</v>
      </c>
      <c r="V124" s="13" t="str">
        <f>HYPERLINK("https://diamdna.azureedge.net/imaged/kl25-28/still.jpg ","Image")</f>
        <v>Image</v>
      </c>
      <c r="W124" s="13" t="str">
        <f>HYPERLINK("https://diamdna.azureedge.net/Vision360.html?d=kl25-28&amp;sr=-30&amp;s=30 ","Video")</f>
        <v>Video</v>
      </c>
      <c r="X124" s="13" t="str">
        <f>HYPERLINK("https://diamdna.azureedge.net/imaged/kl25-28/video.mp4 ","Download")</f>
        <v>Download</v>
      </c>
      <c r="Y124" s="13" t="s">
        <v>42</v>
      </c>
      <c r="Z124" s="13" t="str">
        <f>HYPERLINK("https://diamdna.azureedge.net/reports/2546416748.pdf#zoom=150 ","2546416748")</f>
        <v>2546416748</v>
      </c>
      <c r="AA124" s="13" t="s">
        <v>113</v>
      </c>
      <c r="AB124" s="13">
        <v>2</v>
      </c>
      <c r="AC124" s="14" t="s">
        <v>91</v>
      </c>
      <c r="AD124" s="13" t="s">
        <v>78</v>
      </c>
      <c r="AE124" s="13">
        <v>16000</v>
      </c>
      <c r="AF124" s="14">
        <v>32000</v>
      </c>
      <c r="AG124" s="14">
        <v>-45</v>
      </c>
      <c r="AH124" s="14">
        <v>8800</v>
      </c>
      <c r="AI124" s="14">
        <v>17600</v>
      </c>
      <c r="AJ124" s="14" t="s">
        <v>50</v>
      </c>
      <c r="AK124" s="13" t="s">
        <v>46</v>
      </c>
      <c r="AL124" s="13" t="s">
        <v>120</v>
      </c>
      <c r="AM124" s="13" t="s">
        <v>49</v>
      </c>
      <c r="AN124" s="13" t="s">
        <v>548</v>
      </c>
      <c r="AO124" s="13">
        <v>59</v>
      </c>
      <c r="AP124" s="14">
        <v>66.7</v>
      </c>
      <c r="AQ124" s="14" t="s">
        <v>49</v>
      </c>
      <c r="AR124" s="13">
        <v>0</v>
      </c>
      <c r="AS124" s="14">
        <v>0</v>
      </c>
      <c r="AT124" s="14">
        <v>0</v>
      </c>
      <c r="AU124" s="13" t="s">
        <v>547</v>
      </c>
      <c r="AV124" s="13" t="str">
        <f>HYPERLINK("https://diamdna.azureedge.net/imaged/kl25-28/still.jpg ","Image")</f>
        <v>Image</v>
      </c>
      <c r="AW124" s="13" t="str">
        <f>HYPERLINK("https://diamdna.azureedge.net/Vision360.html?d=kl25-28&amp;sr=-30&amp;s=30 ","Video")</f>
        <v>Video</v>
      </c>
      <c r="AX124" s="13" t="str">
        <f>HYPERLINK("https://diamdna.azureedge.net/imaged/kl25-28/video.mp4 ","Download")</f>
        <v>Download</v>
      </c>
      <c r="AY124" s="13" t="s">
        <v>42</v>
      </c>
      <c r="AZ124" s="13" t="str">
        <f>HYPERLINK("https://diamdna.azureedge.net/reports/2546416748.pdf#zoom=150 ","2546416748")</f>
        <v>2546416748</v>
      </c>
      <c r="BA124" s="13" t="s">
        <v>113</v>
      </c>
      <c r="BB124" s="13">
        <v>2</v>
      </c>
      <c r="BC124" s="14" t="s">
        <v>91</v>
      </c>
      <c r="BD124" s="13" t="s">
        <v>78</v>
      </c>
      <c r="BE124" s="13">
        <v>16000</v>
      </c>
      <c r="BF124" s="14">
        <v>32000</v>
      </c>
      <c r="BG124" s="14">
        <v>-45</v>
      </c>
      <c r="BH124" s="14">
        <v>8800</v>
      </c>
      <c r="BI124" s="14">
        <v>17600</v>
      </c>
      <c r="BJ124" s="14" t="s">
        <v>50</v>
      </c>
      <c r="BK124" s="13" t="s">
        <v>46</v>
      </c>
      <c r="BL124" s="13" t="s">
        <v>120</v>
      </c>
      <c r="BM124" s="13" t="s">
        <v>49</v>
      </c>
      <c r="BN124" s="13" t="s">
        <v>548</v>
      </c>
      <c r="BO124" s="13">
        <v>59</v>
      </c>
      <c r="BP124" s="14">
        <v>66.7</v>
      </c>
      <c r="BQ124" s="14" t="s">
        <v>49</v>
      </c>
      <c r="BR124" s="13">
        <v>0</v>
      </c>
      <c r="BS124" s="14">
        <v>0</v>
      </c>
      <c r="BT124" s="14">
        <v>0</v>
      </c>
      <c r="BU124" s="14">
        <v>0</v>
      </c>
      <c r="BV124" s="14" t="s">
        <v>549</v>
      </c>
      <c r="BW124" s="13" t="s">
        <v>50</v>
      </c>
      <c r="BX124" s="13" t="s">
        <v>107</v>
      </c>
      <c r="BY124" s="13">
        <v>4.3499999999999996</v>
      </c>
      <c r="BZ124" s="14">
        <v>1.52</v>
      </c>
      <c r="CA124" s="14" t="s">
        <v>52</v>
      </c>
      <c r="CB124" s="13" t="s">
        <v>54</v>
      </c>
      <c r="CC124" s="13"/>
      <c r="CD124" s="13" t="s">
        <v>54</v>
      </c>
      <c r="CE124" s="13" t="s">
        <v>110</v>
      </c>
      <c r="CF124" s="13" t="s">
        <v>56</v>
      </c>
      <c r="CG124" s="13" t="s">
        <v>57</v>
      </c>
      <c r="CH124" s="13" t="s">
        <v>144</v>
      </c>
    </row>
    <row r="125" spans="21:86" x14ac:dyDescent="0.3">
      <c r="U125" s="13" t="s">
        <v>550</v>
      </c>
      <c r="V125" s="13" t="str">
        <f>HYPERLINK("https://diamdna.azureedge.net/imaged/mh25-1/still.jpg ","Image")</f>
        <v>Image</v>
      </c>
      <c r="W125" s="13" t="str">
        <f>HYPERLINK("https://diamdna.azureedge.net/Vision360.html?d=mh25-1&amp;sr=-30&amp;s=30 ","Video")</f>
        <v>Video</v>
      </c>
      <c r="X125" s="13" t="str">
        <f>HYPERLINK("https://diamdna.azureedge.net/imaged/mh25-1/video.mp4 ","Download")</f>
        <v>Download</v>
      </c>
      <c r="Y125" s="13" t="s">
        <v>42</v>
      </c>
      <c r="Z125" s="13" t="str">
        <f>HYPERLINK("https://diamdna.azureedge.net/reports/7546536683.pdf#zoom=150 ","7546536683")</f>
        <v>7546536683</v>
      </c>
      <c r="AA125" s="13" t="s">
        <v>113</v>
      </c>
      <c r="AB125" s="13">
        <v>2</v>
      </c>
      <c r="AC125" s="14" t="s">
        <v>96</v>
      </c>
      <c r="AD125" s="13" t="s">
        <v>125</v>
      </c>
      <c r="AE125" s="13">
        <v>17000</v>
      </c>
      <c r="AF125" s="14">
        <v>34000</v>
      </c>
      <c r="AG125" s="14">
        <v>-37</v>
      </c>
      <c r="AH125" s="14">
        <v>10710</v>
      </c>
      <c r="AI125" s="14">
        <v>21420</v>
      </c>
      <c r="AJ125" s="14" t="s">
        <v>50</v>
      </c>
      <c r="AK125" s="13" t="s">
        <v>46</v>
      </c>
      <c r="AL125" s="13" t="s">
        <v>46</v>
      </c>
      <c r="AM125" s="13" t="s">
        <v>49</v>
      </c>
      <c r="AN125" s="13" t="s">
        <v>551</v>
      </c>
      <c r="AO125" s="13">
        <v>61</v>
      </c>
      <c r="AP125" s="14">
        <v>60.5</v>
      </c>
      <c r="AQ125" s="14" t="s">
        <v>49</v>
      </c>
      <c r="AR125" s="13">
        <v>0</v>
      </c>
      <c r="AS125" s="14">
        <v>0</v>
      </c>
      <c r="AT125" s="14">
        <v>0</v>
      </c>
      <c r="AU125" s="13" t="s">
        <v>550</v>
      </c>
      <c r="AV125" s="13" t="str">
        <f>HYPERLINK("https://diamdna.azureedge.net/imaged/mh25-1/still.jpg ","Image")</f>
        <v>Image</v>
      </c>
      <c r="AW125" s="13" t="str">
        <f>HYPERLINK("https://diamdna.azureedge.net/Vision360.html?d=mh25-1&amp;sr=-30&amp;s=30 ","Video")</f>
        <v>Video</v>
      </c>
      <c r="AX125" s="13" t="str">
        <f>HYPERLINK("https://diamdna.azureedge.net/imaged/mh25-1/video.mp4 ","Download")</f>
        <v>Download</v>
      </c>
      <c r="AY125" s="13" t="s">
        <v>42</v>
      </c>
      <c r="AZ125" s="13" t="str">
        <f>HYPERLINK("https://diamdna.azureedge.net/reports/7546536683.pdf#zoom=150 ","7546536683")</f>
        <v>7546536683</v>
      </c>
      <c r="BA125" s="13" t="s">
        <v>113</v>
      </c>
      <c r="BB125" s="13">
        <v>2</v>
      </c>
      <c r="BC125" s="14" t="s">
        <v>96</v>
      </c>
      <c r="BD125" s="13" t="s">
        <v>125</v>
      </c>
      <c r="BE125" s="13">
        <v>17000</v>
      </c>
      <c r="BF125" s="14">
        <v>34000</v>
      </c>
      <c r="BG125" s="14">
        <v>-37</v>
      </c>
      <c r="BH125" s="14">
        <v>10710</v>
      </c>
      <c r="BI125" s="14">
        <v>21420</v>
      </c>
      <c r="BJ125" s="14" t="s">
        <v>50</v>
      </c>
      <c r="BK125" s="13" t="s">
        <v>46</v>
      </c>
      <c r="BL125" s="13" t="s">
        <v>46</v>
      </c>
      <c r="BM125" s="13" t="s">
        <v>49</v>
      </c>
      <c r="BN125" s="13" t="s">
        <v>551</v>
      </c>
      <c r="BO125" s="13">
        <v>61</v>
      </c>
      <c r="BP125" s="14">
        <v>60.5</v>
      </c>
      <c r="BQ125" s="14" t="s">
        <v>49</v>
      </c>
      <c r="BR125" s="13">
        <v>0</v>
      </c>
      <c r="BS125" s="14">
        <v>0</v>
      </c>
      <c r="BT125" s="14">
        <v>0</v>
      </c>
      <c r="BU125" s="14">
        <v>0</v>
      </c>
      <c r="BV125" s="14" t="s">
        <v>552</v>
      </c>
      <c r="BW125" s="13" t="s">
        <v>50</v>
      </c>
      <c r="BX125" s="13" t="s">
        <v>202</v>
      </c>
      <c r="BY125" s="13">
        <v>4.3499999999999996</v>
      </c>
      <c r="BZ125" s="14">
        <v>1.42</v>
      </c>
      <c r="CA125" s="14" t="s">
        <v>52</v>
      </c>
      <c r="CB125" s="13" t="s">
        <v>54</v>
      </c>
      <c r="CC125" s="13" t="s">
        <v>129</v>
      </c>
      <c r="CD125" s="13" t="s">
        <v>54</v>
      </c>
      <c r="CE125" s="13" t="s">
        <v>143</v>
      </c>
      <c r="CF125" s="13" t="s">
        <v>56</v>
      </c>
      <c r="CG125" s="13" t="s">
        <v>57</v>
      </c>
      <c r="CH125" s="13" t="s">
        <v>502</v>
      </c>
    </row>
    <row r="126" spans="21:86" x14ac:dyDescent="0.3">
      <c r="U126" s="13" t="s">
        <v>553</v>
      </c>
      <c r="V126" s="13" t="str">
        <f>HYPERLINK("https://diamdna.azureedge.net/imaged/mk26-85/still.jpg ","Image")</f>
        <v>Image</v>
      </c>
      <c r="W126" s="13" t="str">
        <f>HYPERLINK("https://diamdna.azureedge.net/Vision360.html?d=mk26-85&amp;sr=-30&amp;s=30 ","Video")</f>
        <v>Video</v>
      </c>
      <c r="X126" s="13" t="str">
        <f>HYPERLINK("https://diamdna.azureedge.net/imaged/mk26-85/video.mp4 ","Download")</f>
        <v>Download</v>
      </c>
      <c r="Y126" s="13" t="s">
        <v>163</v>
      </c>
      <c r="Z126" s="13" t="str">
        <f>HYPERLINK("https://diamdna.azureedge.net/reports/260000042045.pdf#zoom=150 ","260000042045")</f>
        <v>260000042045</v>
      </c>
      <c r="AA126" s="13" t="s">
        <v>113</v>
      </c>
      <c r="AB126" s="13">
        <v>2</v>
      </c>
      <c r="AC126" s="14" t="s">
        <v>194</v>
      </c>
      <c r="AD126" s="13" t="s">
        <v>60</v>
      </c>
      <c r="AE126" s="13">
        <v>9100</v>
      </c>
      <c r="AF126" s="14">
        <v>18200</v>
      </c>
      <c r="AG126" s="14">
        <v>-66.5</v>
      </c>
      <c r="AH126" s="14">
        <v>3048.5</v>
      </c>
      <c r="AI126" s="14">
        <v>6097</v>
      </c>
      <c r="AJ126" s="14" t="s">
        <v>50</v>
      </c>
      <c r="AK126" s="13" t="s">
        <v>46</v>
      </c>
      <c r="AL126" s="13" t="s">
        <v>46</v>
      </c>
      <c r="AM126" s="13" t="s">
        <v>87</v>
      </c>
      <c r="AN126" s="13" t="s">
        <v>554</v>
      </c>
      <c r="AO126" s="13">
        <v>60</v>
      </c>
      <c r="AP126" s="14">
        <v>62.7</v>
      </c>
      <c r="AQ126" s="14" t="s">
        <v>165</v>
      </c>
      <c r="AR126" s="13">
        <v>0</v>
      </c>
      <c r="AS126" s="14">
        <v>16</v>
      </c>
      <c r="AT126" s="14">
        <v>0</v>
      </c>
      <c r="AU126" s="13" t="s">
        <v>553</v>
      </c>
      <c r="AV126" s="13" t="str">
        <f>HYPERLINK("https://diamdna.azureedge.net/imaged/mk26-85/still.jpg ","Image")</f>
        <v>Image</v>
      </c>
      <c r="AW126" s="13" t="str">
        <f>HYPERLINK("https://diamdna.azureedge.net/Vision360.html?d=mk26-85&amp;sr=-30&amp;s=30 ","Video")</f>
        <v>Video</v>
      </c>
      <c r="AX126" s="13" t="str">
        <f>HYPERLINK("https://diamdna.azureedge.net/imaged/mk26-85/video.mp4 ","Download")</f>
        <v>Download</v>
      </c>
      <c r="AY126" s="13" t="s">
        <v>163</v>
      </c>
      <c r="AZ126" s="13" t="str">
        <f>HYPERLINK("https://diamdna.azureedge.net/reports/260000042045.pdf#zoom=150 ","260000042045")</f>
        <v>260000042045</v>
      </c>
      <c r="BA126" s="13" t="s">
        <v>113</v>
      </c>
      <c r="BB126" s="13">
        <v>2</v>
      </c>
      <c r="BC126" s="14" t="s">
        <v>194</v>
      </c>
      <c r="BD126" s="13" t="s">
        <v>60</v>
      </c>
      <c r="BE126" s="13">
        <v>9100</v>
      </c>
      <c r="BF126" s="14">
        <v>18200</v>
      </c>
      <c r="BG126" s="14">
        <v>-66.5</v>
      </c>
      <c r="BH126" s="14">
        <v>3048.5</v>
      </c>
      <c r="BI126" s="14">
        <v>6097</v>
      </c>
      <c r="BJ126" s="14" t="s">
        <v>50</v>
      </c>
      <c r="BK126" s="13" t="s">
        <v>46</v>
      </c>
      <c r="BL126" s="13" t="s">
        <v>46</v>
      </c>
      <c r="BM126" s="13" t="s">
        <v>87</v>
      </c>
      <c r="BN126" s="13" t="s">
        <v>554</v>
      </c>
      <c r="BO126" s="13">
        <v>60</v>
      </c>
      <c r="BP126" s="14">
        <v>62.7</v>
      </c>
      <c r="BQ126" s="14" t="s">
        <v>165</v>
      </c>
      <c r="BR126" s="13">
        <v>0</v>
      </c>
      <c r="BS126" s="14">
        <v>16</v>
      </c>
      <c r="BT126" s="14">
        <v>0</v>
      </c>
      <c r="BU126" s="14">
        <v>40.5</v>
      </c>
      <c r="BV126" s="14"/>
      <c r="BW126" s="13" t="s">
        <v>50</v>
      </c>
      <c r="BX126" s="13" t="s">
        <v>311</v>
      </c>
      <c r="BY126" s="13">
        <v>6</v>
      </c>
      <c r="BZ126" s="14">
        <v>1.4</v>
      </c>
      <c r="CA126" s="14" t="s">
        <v>108</v>
      </c>
      <c r="CB126" s="13" t="s">
        <v>54</v>
      </c>
      <c r="CC126" s="13"/>
      <c r="CD126" s="13" t="s">
        <v>54</v>
      </c>
      <c r="CE126" s="13" t="s">
        <v>143</v>
      </c>
      <c r="CF126" s="13" t="s">
        <v>56</v>
      </c>
      <c r="CG126" s="13" t="s">
        <v>57</v>
      </c>
      <c r="CH126" s="13" t="s">
        <v>372</v>
      </c>
    </row>
    <row r="127" spans="21:86" x14ac:dyDescent="0.3">
      <c r="U127" s="13" t="s">
        <v>555</v>
      </c>
      <c r="V127" s="13" t="str">
        <f>HYPERLINK("https://diamdna.azureedge.net/imaged/mk26-68/still.jpg ","Image")</f>
        <v>Image</v>
      </c>
      <c r="W127" s="13" t="str">
        <f>HYPERLINK("https://diamdna.azureedge.net/Vision360.html?d=mk26-68&amp;sr=-30&amp;s=30 ","Video")</f>
        <v>Video</v>
      </c>
      <c r="X127" s="13" t="str">
        <f>HYPERLINK("https://diamdna.azureedge.net/imaged/mk26-68/video.mp4 ","Download")</f>
        <v>Download</v>
      </c>
      <c r="Y127" s="13" t="s">
        <v>163</v>
      </c>
      <c r="Z127" s="13" t="str">
        <f>HYPERLINK("https://diamdna.azureedge.net/reports/260000046115.pdf#zoom=150 ","260000046115")</f>
        <v>260000046115</v>
      </c>
      <c r="AA127" s="13" t="s">
        <v>113</v>
      </c>
      <c r="AB127" s="13">
        <v>2</v>
      </c>
      <c r="AC127" s="14" t="s">
        <v>194</v>
      </c>
      <c r="AD127" s="13" t="s">
        <v>60</v>
      </c>
      <c r="AE127" s="13">
        <v>9100</v>
      </c>
      <c r="AF127" s="14">
        <v>18200</v>
      </c>
      <c r="AG127" s="14">
        <v>-60</v>
      </c>
      <c r="AH127" s="14">
        <v>3640</v>
      </c>
      <c r="AI127" s="14">
        <v>7280</v>
      </c>
      <c r="AJ127" s="14" t="s">
        <v>50</v>
      </c>
      <c r="AK127" s="13" t="s">
        <v>46</v>
      </c>
      <c r="AL127" s="13" t="s">
        <v>46</v>
      </c>
      <c r="AM127" s="13" t="s">
        <v>49</v>
      </c>
      <c r="AN127" s="13" t="s">
        <v>556</v>
      </c>
      <c r="AO127" s="13">
        <v>61</v>
      </c>
      <c r="AP127" s="14">
        <v>65.099999999999994</v>
      </c>
      <c r="AQ127" s="14" t="s">
        <v>165</v>
      </c>
      <c r="AR127" s="13">
        <v>0</v>
      </c>
      <c r="AS127" s="14">
        <v>15.5</v>
      </c>
      <c r="AT127" s="14">
        <v>0</v>
      </c>
      <c r="AU127" s="13" t="s">
        <v>555</v>
      </c>
      <c r="AV127" s="13" t="str">
        <f>HYPERLINK("https://diamdna.azureedge.net/imaged/mk26-68/still.jpg ","Image")</f>
        <v>Image</v>
      </c>
      <c r="AW127" s="13" t="str">
        <f>HYPERLINK("https://diamdna.azureedge.net/Vision360.html?d=mk26-68&amp;sr=-30&amp;s=30 ","Video")</f>
        <v>Video</v>
      </c>
      <c r="AX127" s="13" t="str">
        <f>HYPERLINK("https://diamdna.azureedge.net/imaged/mk26-68/video.mp4 ","Download")</f>
        <v>Download</v>
      </c>
      <c r="AY127" s="13" t="s">
        <v>163</v>
      </c>
      <c r="AZ127" s="13" t="str">
        <f>HYPERLINK("https://diamdna.azureedge.net/reports/260000046115.pdf#zoom=150 ","260000046115")</f>
        <v>260000046115</v>
      </c>
      <c r="BA127" s="13" t="s">
        <v>113</v>
      </c>
      <c r="BB127" s="13">
        <v>2</v>
      </c>
      <c r="BC127" s="14" t="s">
        <v>194</v>
      </c>
      <c r="BD127" s="13" t="s">
        <v>60</v>
      </c>
      <c r="BE127" s="13">
        <v>9100</v>
      </c>
      <c r="BF127" s="14">
        <v>18200</v>
      </c>
      <c r="BG127" s="14">
        <v>-60</v>
      </c>
      <c r="BH127" s="14">
        <v>3640</v>
      </c>
      <c r="BI127" s="14">
        <v>7280</v>
      </c>
      <c r="BJ127" s="14" t="s">
        <v>50</v>
      </c>
      <c r="BK127" s="13" t="s">
        <v>46</v>
      </c>
      <c r="BL127" s="13" t="s">
        <v>46</v>
      </c>
      <c r="BM127" s="13" t="s">
        <v>49</v>
      </c>
      <c r="BN127" s="13" t="s">
        <v>556</v>
      </c>
      <c r="BO127" s="13">
        <v>61</v>
      </c>
      <c r="BP127" s="14">
        <v>65.099999999999994</v>
      </c>
      <c r="BQ127" s="14" t="s">
        <v>165</v>
      </c>
      <c r="BR127" s="13">
        <v>0</v>
      </c>
      <c r="BS127" s="14">
        <v>15.5</v>
      </c>
      <c r="BT127" s="14">
        <v>0</v>
      </c>
      <c r="BU127" s="14">
        <v>43</v>
      </c>
      <c r="BV127" s="14"/>
      <c r="BW127" s="13" t="s">
        <v>50</v>
      </c>
      <c r="BX127" s="13" t="s">
        <v>364</v>
      </c>
      <c r="BY127" s="13">
        <v>6.5</v>
      </c>
      <c r="BZ127" s="14">
        <v>1.4</v>
      </c>
      <c r="CA127" s="14" t="s">
        <v>137</v>
      </c>
      <c r="CB127" s="13" t="s">
        <v>54</v>
      </c>
      <c r="CC127" s="13"/>
      <c r="CD127" s="13" t="s">
        <v>54</v>
      </c>
      <c r="CE127" s="13" t="s">
        <v>143</v>
      </c>
      <c r="CF127" s="13" t="s">
        <v>56</v>
      </c>
      <c r="CG127" s="13" t="s">
        <v>57</v>
      </c>
      <c r="CH127" s="13" t="s">
        <v>543</v>
      </c>
    </row>
    <row r="128" spans="21:86" x14ac:dyDescent="0.3">
      <c r="U128" s="13" t="s">
        <v>557</v>
      </c>
      <c r="V128" s="13" t="str">
        <f>HYPERLINK("https://diamdna.azureedge.net/imaged/kl25-16/still.jpg ","Image")</f>
        <v>Image</v>
      </c>
      <c r="W128" s="13" t="str">
        <f>HYPERLINK("https://diamdna.azureedge.net/Vision360.html?d=kl25-16&amp;sr=-30&amp;s=30 ","Video")</f>
        <v>Video</v>
      </c>
      <c r="X128" s="13" t="str">
        <f>HYPERLINK("https://diamdna.azureedge.net/imaged/kl25-16/video.mp4 ","Download")</f>
        <v>Download</v>
      </c>
      <c r="Y128" s="13" t="s">
        <v>42</v>
      </c>
      <c r="Z128" s="13" t="str">
        <f>HYPERLINK("https://diamdna.azureedge.net/reports/1547346401.pdf#zoom=150 ","1547346401")</f>
        <v>1547346401</v>
      </c>
      <c r="AA128" s="13" t="s">
        <v>113</v>
      </c>
      <c r="AB128" s="13">
        <v>2</v>
      </c>
      <c r="AC128" s="14" t="s">
        <v>119</v>
      </c>
      <c r="AD128" s="13" t="s">
        <v>133</v>
      </c>
      <c r="AE128" s="13">
        <v>9900</v>
      </c>
      <c r="AF128" s="14">
        <v>19800</v>
      </c>
      <c r="AG128" s="14">
        <v>-46</v>
      </c>
      <c r="AH128" s="14">
        <v>5346</v>
      </c>
      <c r="AI128" s="14">
        <v>10692</v>
      </c>
      <c r="AJ128" s="14" t="s">
        <v>50</v>
      </c>
      <c r="AK128" s="13" t="s">
        <v>46</v>
      </c>
      <c r="AL128" s="13" t="s">
        <v>120</v>
      </c>
      <c r="AM128" s="13" t="s">
        <v>47</v>
      </c>
      <c r="AN128" s="13" t="s">
        <v>558</v>
      </c>
      <c r="AO128" s="13">
        <v>62</v>
      </c>
      <c r="AP128" s="14">
        <v>63.7</v>
      </c>
      <c r="AQ128" s="14" t="s">
        <v>49</v>
      </c>
      <c r="AR128" s="13">
        <v>0</v>
      </c>
      <c r="AS128" s="14">
        <v>0</v>
      </c>
      <c r="AT128" s="14">
        <v>0</v>
      </c>
      <c r="AU128" s="13" t="s">
        <v>557</v>
      </c>
      <c r="AV128" s="13" t="str">
        <f>HYPERLINK("https://diamdna.azureedge.net/imaged/kl25-16/still.jpg ","Image")</f>
        <v>Image</v>
      </c>
      <c r="AW128" s="13" t="str">
        <f>HYPERLINK("https://diamdna.azureedge.net/Vision360.html?d=kl25-16&amp;sr=-30&amp;s=30 ","Video")</f>
        <v>Video</v>
      </c>
      <c r="AX128" s="13" t="str">
        <f>HYPERLINK("https://diamdna.azureedge.net/imaged/kl25-16/video.mp4 ","Download")</f>
        <v>Download</v>
      </c>
      <c r="AY128" s="13" t="s">
        <v>42</v>
      </c>
      <c r="AZ128" s="13" t="str">
        <f>HYPERLINK("https://diamdna.azureedge.net/reports/1547346401.pdf#zoom=150 ","1547346401")</f>
        <v>1547346401</v>
      </c>
      <c r="BA128" s="13" t="s">
        <v>113</v>
      </c>
      <c r="BB128" s="13">
        <v>2</v>
      </c>
      <c r="BC128" s="14" t="s">
        <v>119</v>
      </c>
      <c r="BD128" s="13" t="s">
        <v>133</v>
      </c>
      <c r="BE128" s="13">
        <v>9900</v>
      </c>
      <c r="BF128" s="14">
        <v>19800</v>
      </c>
      <c r="BG128" s="14">
        <v>-46</v>
      </c>
      <c r="BH128" s="14">
        <v>5346</v>
      </c>
      <c r="BI128" s="14">
        <v>10692</v>
      </c>
      <c r="BJ128" s="14" t="s">
        <v>50</v>
      </c>
      <c r="BK128" s="13" t="s">
        <v>46</v>
      </c>
      <c r="BL128" s="13" t="s">
        <v>120</v>
      </c>
      <c r="BM128" s="13" t="s">
        <v>47</v>
      </c>
      <c r="BN128" s="13" t="s">
        <v>558</v>
      </c>
      <c r="BO128" s="13">
        <v>62</v>
      </c>
      <c r="BP128" s="14">
        <v>63.7</v>
      </c>
      <c r="BQ128" s="14" t="s">
        <v>49</v>
      </c>
      <c r="BR128" s="13">
        <v>0</v>
      </c>
      <c r="BS128" s="14">
        <v>0</v>
      </c>
      <c r="BT128" s="14">
        <v>0</v>
      </c>
      <c r="BU128" s="14">
        <v>0</v>
      </c>
      <c r="BV128" s="14" t="s">
        <v>98</v>
      </c>
      <c r="BW128" s="13" t="s">
        <v>50</v>
      </c>
      <c r="BX128" s="13" t="s">
        <v>72</v>
      </c>
      <c r="BY128" s="13">
        <v>3.6</v>
      </c>
      <c r="BZ128" s="14">
        <v>1.4</v>
      </c>
      <c r="CA128" s="14" t="s">
        <v>197</v>
      </c>
      <c r="CB128" s="13" t="s">
        <v>54</v>
      </c>
      <c r="CC128" s="13" t="s">
        <v>115</v>
      </c>
      <c r="CD128" s="13" t="s">
        <v>54</v>
      </c>
      <c r="CE128" s="13" t="s">
        <v>110</v>
      </c>
      <c r="CF128" s="13" t="s">
        <v>56</v>
      </c>
      <c r="CG128" s="13" t="s">
        <v>65</v>
      </c>
      <c r="CH128" s="13" t="s">
        <v>144</v>
      </c>
    </row>
    <row r="129" spans="21:86" x14ac:dyDescent="0.3">
      <c r="U129" s="13" t="s">
        <v>559</v>
      </c>
      <c r="V129" s="13" t="str">
        <f>HYPERLINK("https://diamdna.azureedge.net/imaged/mr26-2/still.jpg ","Image")</f>
        <v>Image</v>
      </c>
      <c r="W129" s="13" t="str">
        <f>HYPERLINK("https://diamdna.azureedge.net/Vision360.html?d=mr26-2&amp;sr=-30&amp;s=30 ","Video")</f>
        <v>Video</v>
      </c>
      <c r="X129" s="13" t="str">
        <f>HYPERLINK("https://diamdna.azureedge.net/imaged/mr26-2/video.mp4 ","Download")</f>
        <v>Download</v>
      </c>
      <c r="Y129" s="13" t="s">
        <v>76</v>
      </c>
      <c r="Z129" s="13" t="str">
        <f>HYPERLINK("https://diamdna.azureedge.net/reports/778681574.pdf#zoom=150 ","778681574")</f>
        <v>778681574</v>
      </c>
      <c r="AA129" s="13" t="s">
        <v>113</v>
      </c>
      <c r="AB129" s="13">
        <v>2</v>
      </c>
      <c r="AC129" s="14" t="s">
        <v>44</v>
      </c>
      <c r="AD129" s="13" t="s">
        <v>78</v>
      </c>
      <c r="AE129" s="13">
        <v>7400</v>
      </c>
      <c r="AF129" s="14">
        <v>14800</v>
      </c>
      <c r="AG129" s="14">
        <v>-61</v>
      </c>
      <c r="AH129" s="14">
        <v>2886</v>
      </c>
      <c r="AI129" s="14">
        <v>5772</v>
      </c>
      <c r="AJ129" s="14" t="s">
        <v>50</v>
      </c>
      <c r="AK129" s="13" t="s">
        <v>46</v>
      </c>
      <c r="AL129" s="13" t="s">
        <v>46</v>
      </c>
      <c r="AM129" s="13" t="s">
        <v>49</v>
      </c>
      <c r="AN129" s="13" t="s">
        <v>560</v>
      </c>
      <c r="AO129" s="13">
        <v>56</v>
      </c>
      <c r="AP129" s="14">
        <v>67.599999999999994</v>
      </c>
      <c r="AQ129" s="14" t="s">
        <v>80</v>
      </c>
      <c r="AR129" s="13">
        <v>39.299999999999997</v>
      </c>
      <c r="AS129" s="14">
        <v>18</v>
      </c>
      <c r="AT129" s="14">
        <v>36.700000000000003</v>
      </c>
      <c r="AU129" s="13" t="s">
        <v>559</v>
      </c>
      <c r="AV129" s="13" t="str">
        <f>HYPERLINK("https://diamdna.azureedge.net/imaged/mr26-2/still.jpg ","Image")</f>
        <v>Image</v>
      </c>
      <c r="AW129" s="13" t="str">
        <f>HYPERLINK("https://diamdna.azureedge.net/Vision360.html?d=mr26-2&amp;sr=-30&amp;s=30 ","Video")</f>
        <v>Video</v>
      </c>
      <c r="AX129" s="13" t="str">
        <f>HYPERLINK("https://diamdna.azureedge.net/imaged/mr26-2/video.mp4 ","Download")</f>
        <v>Download</v>
      </c>
      <c r="AY129" s="13" t="s">
        <v>76</v>
      </c>
      <c r="AZ129" s="13" t="str">
        <f>HYPERLINK("https://diamdna.azureedge.net/reports/778681574.pdf#zoom=150 ","778681574")</f>
        <v>778681574</v>
      </c>
      <c r="BA129" s="13" t="s">
        <v>113</v>
      </c>
      <c r="BB129" s="13">
        <v>2</v>
      </c>
      <c r="BC129" s="14" t="s">
        <v>44</v>
      </c>
      <c r="BD129" s="13" t="s">
        <v>78</v>
      </c>
      <c r="BE129" s="13">
        <v>7400</v>
      </c>
      <c r="BF129" s="14">
        <v>14800</v>
      </c>
      <c r="BG129" s="14">
        <v>-61</v>
      </c>
      <c r="BH129" s="14">
        <v>2886</v>
      </c>
      <c r="BI129" s="14">
        <v>5772</v>
      </c>
      <c r="BJ129" s="14" t="s">
        <v>50</v>
      </c>
      <c r="BK129" s="13" t="s">
        <v>46</v>
      </c>
      <c r="BL129" s="13" t="s">
        <v>46</v>
      </c>
      <c r="BM129" s="13" t="s">
        <v>49</v>
      </c>
      <c r="BN129" s="13" t="s">
        <v>560</v>
      </c>
      <c r="BO129" s="13">
        <v>56</v>
      </c>
      <c r="BP129" s="14">
        <v>67.599999999999994</v>
      </c>
      <c r="BQ129" s="14" t="s">
        <v>80</v>
      </c>
      <c r="BR129" s="13">
        <v>39.299999999999997</v>
      </c>
      <c r="BS129" s="14">
        <v>18</v>
      </c>
      <c r="BT129" s="14">
        <v>36.700000000000003</v>
      </c>
      <c r="BU129" s="14">
        <v>42.5</v>
      </c>
      <c r="BV129" s="14"/>
      <c r="BW129" s="13" t="s">
        <v>50</v>
      </c>
      <c r="BX129" s="13" t="s">
        <v>72</v>
      </c>
      <c r="BY129" s="13">
        <v>7.2</v>
      </c>
      <c r="BZ129" s="14">
        <v>1.5</v>
      </c>
      <c r="CA129" s="14" t="s">
        <v>99</v>
      </c>
      <c r="CB129" s="13" t="s">
        <v>54</v>
      </c>
      <c r="CC129" s="13" t="s">
        <v>82</v>
      </c>
      <c r="CD129" s="13" t="s">
        <v>54</v>
      </c>
      <c r="CE129" s="13" t="s">
        <v>143</v>
      </c>
      <c r="CF129" s="13" t="s">
        <v>56</v>
      </c>
      <c r="CG129" s="13" t="s">
        <v>130</v>
      </c>
      <c r="CH129" s="13" t="s">
        <v>316</v>
      </c>
    </row>
    <row r="130" spans="21:86" x14ac:dyDescent="0.3">
      <c r="U130" s="13" t="s">
        <v>561</v>
      </c>
      <c r="V130" s="13" t="str">
        <f>HYPERLINK("https://diamdna.azureedge.net/imaged/kl25-38/still.jpg ","Image")</f>
        <v>Image</v>
      </c>
      <c r="W130" s="13" t="str">
        <f>HYPERLINK("https://diamdna.azureedge.net/Vision360.html?d=kl25-38&amp;sr=-30&amp;s=30 ","Video")</f>
        <v>Video</v>
      </c>
      <c r="X130" s="13" t="str">
        <f>HYPERLINK("https://diamdna.azureedge.net/imaged/kl25-38/video.mp4 ","Download")</f>
        <v>Download</v>
      </c>
      <c r="Y130" s="13" t="s">
        <v>76</v>
      </c>
      <c r="Z130" s="13" t="str">
        <f>HYPERLINK("https://diamdna.azureedge.net/reports/758590304.pdf#zoom=150 ","758590304")</f>
        <v>758590304</v>
      </c>
      <c r="AA130" s="13" t="s">
        <v>113</v>
      </c>
      <c r="AB130" s="13">
        <v>2</v>
      </c>
      <c r="AC130" s="14" t="s">
        <v>77</v>
      </c>
      <c r="AD130" s="13" t="s">
        <v>125</v>
      </c>
      <c r="AE130" s="13">
        <v>6300</v>
      </c>
      <c r="AF130" s="14">
        <v>12600</v>
      </c>
      <c r="AG130" s="14">
        <v>-59.5</v>
      </c>
      <c r="AH130" s="14">
        <v>2551.5</v>
      </c>
      <c r="AI130" s="14">
        <v>5103</v>
      </c>
      <c r="AJ130" s="14" t="s">
        <v>50</v>
      </c>
      <c r="AK130" s="13" t="s">
        <v>46</v>
      </c>
      <c r="AL130" s="13" t="s">
        <v>120</v>
      </c>
      <c r="AM130" s="13" t="s">
        <v>152</v>
      </c>
      <c r="AN130" s="13" t="s">
        <v>562</v>
      </c>
      <c r="AO130" s="13">
        <v>59</v>
      </c>
      <c r="AP130" s="14">
        <v>63.4</v>
      </c>
      <c r="AQ130" s="14" t="s">
        <v>80</v>
      </c>
      <c r="AR130" s="13">
        <v>35.799999999999997</v>
      </c>
      <c r="AS130" s="14">
        <v>14.5</v>
      </c>
      <c r="AT130" s="14">
        <v>38.299999999999997</v>
      </c>
      <c r="AU130" s="13" t="s">
        <v>561</v>
      </c>
      <c r="AV130" s="13" t="str">
        <f>HYPERLINK("https://diamdna.azureedge.net/imaged/kl25-38/still.jpg ","Image")</f>
        <v>Image</v>
      </c>
      <c r="AW130" s="13" t="str">
        <f>HYPERLINK("https://diamdna.azureedge.net/Vision360.html?d=kl25-38&amp;sr=-30&amp;s=30 ","Video")</f>
        <v>Video</v>
      </c>
      <c r="AX130" s="13" t="str">
        <f>HYPERLINK("https://diamdna.azureedge.net/imaged/kl25-38/video.mp4 ","Download")</f>
        <v>Download</v>
      </c>
      <c r="AY130" s="13" t="s">
        <v>76</v>
      </c>
      <c r="AZ130" s="13" t="str">
        <f>HYPERLINK("https://diamdna.azureedge.net/reports/758590304.pdf#zoom=150 ","758590304")</f>
        <v>758590304</v>
      </c>
      <c r="BA130" s="13" t="s">
        <v>113</v>
      </c>
      <c r="BB130" s="13">
        <v>2</v>
      </c>
      <c r="BC130" s="14" t="s">
        <v>77</v>
      </c>
      <c r="BD130" s="13" t="s">
        <v>125</v>
      </c>
      <c r="BE130" s="13">
        <v>6300</v>
      </c>
      <c r="BF130" s="14">
        <v>12600</v>
      </c>
      <c r="BG130" s="14">
        <v>-59.5</v>
      </c>
      <c r="BH130" s="14">
        <v>2551.5</v>
      </c>
      <c r="BI130" s="14">
        <v>5103</v>
      </c>
      <c r="BJ130" s="14" t="s">
        <v>50</v>
      </c>
      <c r="BK130" s="13" t="s">
        <v>46</v>
      </c>
      <c r="BL130" s="13" t="s">
        <v>120</v>
      </c>
      <c r="BM130" s="13" t="s">
        <v>152</v>
      </c>
      <c r="BN130" s="13" t="s">
        <v>562</v>
      </c>
      <c r="BO130" s="13">
        <v>59</v>
      </c>
      <c r="BP130" s="14">
        <v>63.4</v>
      </c>
      <c r="BQ130" s="14" t="s">
        <v>80</v>
      </c>
      <c r="BR130" s="13">
        <v>35.799999999999997</v>
      </c>
      <c r="BS130" s="14">
        <v>14.5</v>
      </c>
      <c r="BT130" s="14">
        <v>38.299999999999997</v>
      </c>
      <c r="BU130" s="14">
        <v>43</v>
      </c>
      <c r="BV130" s="14"/>
      <c r="BW130" s="13" t="s">
        <v>50</v>
      </c>
      <c r="BX130" s="13" t="s">
        <v>177</v>
      </c>
      <c r="BY130" s="13">
        <v>5.6</v>
      </c>
      <c r="BZ130" s="14">
        <v>1.4</v>
      </c>
      <c r="CA130" s="14" t="s">
        <v>52</v>
      </c>
      <c r="CB130" s="13" t="s">
        <v>54</v>
      </c>
      <c r="CC130" s="13" t="s">
        <v>82</v>
      </c>
      <c r="CD130" s="13" t="s">
        <v>54</v>
      </c>
      <c r="CE130" s="13" t="s">
        <v>110</v>
      </c>
      <c r="CF130" s="13" t="s">
        <v>56</v>
      </c>
      <c r="CG130" s="13" t="s">
        <v>130</v>
      </c>
      <c r="CH130" s="13" t="s">
        <v>563</v>
      </c>
    </row>
    <row r="131" spans="21:86" x14ac:dyDescent="0.3">
      <c r="U131" s="13" t="s">
        <v>564</v>
      </c>
      <c r="V131" s="13" t="str">
        <f>HYPERLINK("https://diamdna.azureedge.net/imaged/mk26-80/still.jpg ","Image")</f>
        <v>Image</v>
      </c>
      <c r="W131" s="13" t="str">
        <f>HYPERLINK("https://diamdna.azureedge.net/Vision360.html?d=mk26-80&amp;sr=-30&amp;s=30 ","Video")</f>
        <v>Video</v>
      </c>
      <c r="X131" s="13" t="str">
        <f>HYPERLINK("https://diamdna.azureedge.net/imaged/mk26-80/video.mp4 ","Download")</f>
        <v>Download</v>
      </c>
      <c r="Y131" s="13" t="s">
        <v>42</v>
      </c>
      <c r="Z131" s="13" t="str">
        <f>HYPERLINK("https://diamdna.azureedge.net/reports/6541716121.pdf#zoom=150 ","6541716121")</f>
        <v>6541716121</v>
      </c>
      <c r="AA131" s="13" t="s">
        <v>118</v>
      </c>
      <c r="AB131" s="13">
        <v>2</v>
      </c>
      <c r="AC131" s="14" t="s">
        <v>288</v>
      </c>
      <c r="AD131" s="13" t="s">
        <v>60</v>
      </c>
      <c r="AE131" s="13">
        <v>8600</v>
      </c>
      <c r="AF131" s="14">
        <v>17200</v>
      </c>
      <c r="AG131" s="14">
        <v>-67</v>
      </c>
      <c r="AH131" s="14">
        <v>2838</v>
      </c>
      <c r="AI131" s="14">
        <v>5676</v>
      </c>
      <c r="AJ131" s="14" t="s">
        <v>50</v>
      </c>
      <c r="AK131" s="13" t="s">
        <v>46</v>
      </c>
      <c r="AL131" s="13" t="s">
        <v>46</v>
      </c>
      <c r="AM131" s="13" t="s">
        <v>87</v>
      </c>
      <c r="AN131" s="13" t="s">
        <v>565</v>
      </c>
      <c r="AO131" s="13">
        <v>60</v>
      </c>
      <c r="AP131" s="14">
        <v>56.9</v>
      </c>
      <c r="AQ131" s="14" t="s">
        <v>49</v>
      </c>
      <c r="AR131" s="13">
        <v>0</v>
      </c>
      <c r="AS131" s="14">
        <v>0</v>
      </c>
      <c r="AT131" s="14">
        <v>0</v>
      </c>
      <c r="AU131" s="13" t="s">
        <v>564</v>
      </c>
      <c r="AV131" s="13" t="str">
        <f>HYPERLINK("https://diamdna.azureedge.net/imaged/mk26-80/still.jpg ","Image")</f>
        <v>Image</v>
      </c>
      <c r="AW131" s="13" t="str">
        <f>HYPERLINK("https://diamdna.azureedge.net/Vision360.html?d=mk26-80&amp;sr=-30&amp;s=30 ","Video")</f>
        <v>Video</v>
      </c>
      <c r="AX131" s="13" t="str">
        <f>HYPERLINK("https://diamdna.azureedge.net/imaged/mk26-80/video.mp4 ","Download")</f>
        <v>Download</v>
      </c>
      <c r="AY131" s="13" t="s">
        <v>42</v>
      </c>
      <c r="AZ131" s="13" t="str">
        <f>HYPERLINK("https://diamdna.azureedge.net/reports/6541716121.pdf#zoom=150 ","6541716121")</f>
        <v>6541716121</v>
      </c>
      <c r="BA131" s="13" t="s">
        <v>118</v>
      </c>
      <c r="BB131" s="13">
        <v>2</v>
      </c>
      <c r="BC131" s="14" t="s">
        <v>288</v>
      </c>
      <c r="BD131" s="13" t="s">
        <v>60</v>
      </c>
      <c r="BE131" s="13">
        <v>8600</v>
      </c>
      <c r="BF131" s="14">
        <v>17200</v>
      </c>
      <c r="BG131" s="14">
        <v>-67</v>
      </c>
      <c r="BH131" s="14">
        <v>2838</v>
      </c>
      <c r="BI131" s="14">
        <v>5676</v>
      </c>
      <c r="BJ131" s="14" t="s">
        <v>50</v>
      </c>
      <c r="BK131" s="13" t="s">
        <v>46</v>
      </c>
      <c r="BL131" s="13" t="s">
        <v>46</v>
      </c>
      <c r="BM131" s="13" t="s">
        <v>87</v>
      </c>
      <c r="BN131" s="13" t="s">
        <v>565</v>
      </c>
      <c r="BO131" s="13">
        <v>60</v>
      </c>
      <c r="BP131" s="14">
        <v>56.9</v>
      </c>
      <c r="BQ131" s="14" t="s">
        <v>49</v>
      </c>
      <c r="BR131" s="13">
        <v>0</v>
      </c>
      <c r="BS131" s="14">
        <v>0</v>
      </c>
      <c r="BT131" s="14">
        <v>0</v>
      </c>
      <c r="BU131" s="14">
        <v>0</v>
      </c>
      <c r="BV131" s="14" t="s">
        <v>566</v>
      </c>
      <c r="BW131" s="13" t="s">
        <v>50</v>
      </c>
      <c r="BX131" s="13" t="s">
        <v>51</v>
      </c>
      <c r="BY131" s="13">
        <v>3.35</v>
      </c>
      <c r="BZ131" s="14">
        <v>0.86</v>
      </c>
      <c r="CA131" s="14" t="s">
        <v>567</v>
      </c>
      <c r="CB131" s="13" t="s">
        <v>54</v>
      </c>
      <c r="CC131" s="13" t="s">
        <v>254</v>
      </c>
      <c r="CD131" s="13" t="s">
        <v>54</v>
      </c>
      <c r="CE131" s="13" t="s">
        <v>143</v>
      </c>
      <c r="CF131" s="13" t="s">
        <v>56</v>
      </c>
      <c r="CG131" s="13" t="s">
        <v>57</v>
      </c>
      <c r="CH131" s="13" t="s">
        <v>372</v>
      </c>
    </row>
    <row r="132" spans="21:86" x14ac:dyDescent="0.3">
      <c r="U132" s="13" t="s">
        <v>568</v>
      </c>
      <c r="V132" s="13" t="str">
        <f>HYPERLINK("https://diamdna.azureedge.net/imaged/la25-54/still.jpg ","Image")</f>
        <v>Image</v>
      </c>
      <c r="W132" s="13" t="str">
        <f>HYPERLINK("https://diamdna.azureedge.net/Vision360.html?d=la25-54&amp;sr=-30&amp;s=30 ","Video")</f>
        <v>Video</v>
      </c>
      <c r="X132" s="13" t="str">
        <f>HYPERLINK("https://diamdna.azureedge.net/imaged/la25-54/video.mp4 ","Download")</f>
        <v>Download</v>
      </c>
      <c r="Y132" s="13" t="s">
        <v>76</v>
      </c>
      <c r="Z132" s="13" t="str">
        <f>HYPERLINK("https://diamdna.azureedge.net/reports/761504956.pdf#zoom=150 ","761504956")</f>
        <v>761504956</v>
      </c>
      <c r="AA132" s="13" t="s">
        <v>118</v>
      </c>
      <c r="AB132" s="13">
        <v>2</v>
      </c>
      <c r="AC132" s="14" t="s">
        <v>205</v>
      </c>
      <c r="AD132" s="13" t="s">
        <v>133</v>
      </c>
      <c r="AE132" s="13">
        <v>4300</v>
      </c>
      <c r="AF132" s="14">
        <v>8600</v>
      </c>
      <c r="AG132" s="14">
        <v>-64.5</v>
      </c>
      <c r="AH132" s="14">
        <v>1526.5</v>
      </c>
      <c r="AI132" s="14">
        <v>3053</v>
      </c>
      <c r="AJ132" s="14" t="s">
        <v>50</v>
      </c>
      <c r="AK132" s="13" t="s">
        <v>46</v>
      </c>
      <c r="AL132" s="13" t="s">
        <v>46</v>
      </c>
      <c r="AM132" s="13" t="s">
        <v>152</v>
      </c>
      <c r="AN132" s="13" t="s">
        <v>569</v>
      </c>
      <c r="AO132" s="13">
        <v>58</v>
      </c>
      <c r="AP132" s="14">
        <v>62</v>
      </c>
      <c r="AQ132" s="14" t="s">
        <v>80</v>
      </c>
      <c r="AR132" s="13">
        <v>37.1</v>
      </c>
      <c r="AS132" s="14">
        <v>15.5</v>
      </c>
      <c r="AT132" s="14">
        <v>40.5</v>
      </c>
      <c r="AU132" s="13" t="s">
        <v>568</v>
      </c>
      <c r="AV132" s="13" t="str">
        <f>HYPERLINK("https://diamdna.azureedge.net/imaged/la25-54/still.jpg ","Image")</f>
        <v>Image</v>
      </c>
      <c r="AW132" s="13" t="str">
        <f>HYPERLINK("https://diamdna.azureedge.net/Vision360.html?d=la25-54&amp;sr=-30&amp;s=30 ","Video")</f>
        <v>Video</v>
      </c>
      <c r="AX132" s="13" t="str">
        <f>HYPERLINK("https://diamdna.azureedge.net/imaged/la25-54/video.mp4 ","Download")</f>
        <v>Download</v>
      </c>
      <c r="AY132" s="13" t="s">
        <v>76</v>
      </c>
      <c r="AZ132" s="13" t="str">
        <f>HYPERLINK("https://diamdna.azureedge.net/reports/761504956.pdf#zoom=150 ","761504956")</f>
        <v>761504956</v>
      </c>
      <c r="BA132" s="13" t="s">
        <v>118</v>
      </c>
      <c r="BB132" s="13">
        <v>2</v>
      </c>
      <c r="BC132" s="14" t="s">
        <v>205</v>
      </c>
      <c r="BD132" s="13" t="s">
        <v>133</v>
      </c>
      <c r="BE132" s="13">
        <v>4300</v>
      </c>
      <c r="BF132" s="14">
        <v>8600</v>
      </c>
      <c r="BG132" s="14">
        <v>-64.5</v>
      </c>
      <c r="BH132" s="14">
        <v>1526.5</v>
      </c>
      <c r="BI132" s="14">
        <v>3053</v>
      </c>
      <c r="BJ132" s="14" t="s">
        <v>50</v>
      </c>
      <c r="BK132" s="13" t="s">
        <v>46</v>
      </c>
      <c r="BL132" s="13" t="s">
        <v>46</v>
      </c>
      <c r="BM132" s="13" t="s">
        <v>152</v>
      </c>
      <c r="BN132" s="13" t="s">
        <v>569</v>
      </c>
      <c r="BO132" s="13">
        <v>58</v>
      </c>
      <c r="BP132" s="14">
        <v>62</v>
      </c>
      <c r="BQ132" s="14" t="s">
        <v>80</v>
      </c>
      <c r="BR132" s="13">
        <v>37.1</v>
      </c>
      <c r="BS132" s="14">
        <v>15.5</v>
      </c>
      <c r="BT132" s="14">
        <v>40.5</v>
      </c>
      <c r="BU132" s="14">
        <v>40.5</v>
      </c>
      <c r="BV132" s="14"/>
      <c r="BW132" s="13" t="s">
        <v>50</v>
      </c>
      <c r="BX132" s="13" t="s">
        <v>177</v>
      </c>
      <c r="BY132" s="13">
        <v>5.9</v>
      </c>
      <c r="BZ132" s="14">
        <v>0.82</v>
      </c>
      <c r="CA132" s="14" t="s">
        <v>52</v>
      </c>
      <c r="CB132" s="13" t="s">
        <v>54</v>
      </c>
      <c r="CC132" s="13" t="s">
        <v>82</v>
      </c>
      <c r="CD132" s="13" t="s">
        <v>54</v>
      </c>
      <c r="CE132" s="13" t="s">
        <v>110</v>
      </c>
      <c r="CF132" s="13" t="s">
        <v>56</v>
      </c>
      <c r="CG132" s="13" t="s">
        <v>130</v>
      </c>
      <c r="CH132" s="13" t="s">
        <v>323</v>
      </c>
    </row>
  </sheetData>
  <sheetProtection formatCells="0" formatColumns="0" formatRows="0" insertColumns="0" insertRows="0" insertHyperlinks="0" deleteColumns="0" deleteRows="0" sort="0" autoFilter="0" pivotTables="0"/>
  <autoFilter ref="U1:BH1" xr:uid="{00000000-0009-0000-0000-000000000000}">
    <sortState xmlns:xlrd2="http://schemas.microsoft.com/office/spreadsheetml/2017/richdata2" ref="U2:BH132">
      <sortCondition descending="1" ref="AB1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workbookViewId="0">
      <selection activeCell="U11" sqref="U11"/>
    </sheetView>
  </sheetViews>
  <sheetFormatPr defaultRowHeight="14.4" x14ac:dyDescent="0.3"/>
  <cols>
    <col min="1" max="5" width="9.109375" style="2" customWidth="1"/>
    <col min="6" max="6" width="13.44140625" style="2" customWidth="1"/>
    <col min="7" max="7" width="9.109375" style="2" customWidth="1"/>
    <col min="8" max="8" width="9.109375" style="3" customWidth="1"/>
    <col min="9" max="12" width="9.109375" style="2" customWidth="1"/>
    <col min="13" max="13" width="9.109375" style="3" customWidth="1"/>
    <col min="14" max="19" width="9.109375" style="2" customWidth="1"/>
    <col min="20" max="20" width="14.6640625" style="2" customWidth="1"/>
    <col min="21" max="26" width="9.109375" style="3" customWidth="1"/>
    <col min="27" max="27" width="14.6640625" style="2" customWidth="1"/>
    <col min="28" max="33" width="9.109375" style="2" customWidth="1"/>
    <col min="34" max="35" width="23.88671875" style="4" customWidth="1"/>
    <col min="36" max="36" width="13.5546875" style="5" customWidth="1"/>
  </cols>
  <sheetData>
    <row r="1" spans="3:36" x14ac:dyDescent="0.3">
      <c r="AJ1"/>
    </row>
    <row r="2" spans="3:36" x14ac:dyDescent="0.3">
      <c r="O2" s="2" t="s">
        <v>0</v>
      </c>
      <c r="AJ2"/>
    </row>
    <row r="3" spans="3:36" x14ac:dyDescent="0.3">
      <c r="AJ3"/>
    </row>
    <row r="4" spans="3:36" x14ac:dyDescent="0.3">
      <c r="AJ4"/>
    </row>
    <row r="5" spans="3:36" x14ac:dyDescent="0.3">
      <c r="C5" s="2" t="s">
        <v>3</v>
      </c>
      <c r="D5" s="2" t="s">
        <v>4</v>
      </c>
      <c r="AE5" s="2" t="s">
        <v>32</v>
      </c>
      <c r="AI5" s="4" t="s">
        <v>36</v>
      </c>
      <c r="AJ5" s="6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6fafa8-a38f-4658-822f-cde86d03ff4c" xsi:nil="true"/>
    <lcf76f155ced4ddcb4097134ff3c332f xmlns="1899973c-dc55-4b52-a471-73ccbd03a8a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692D1DA9BF04384E06947DE24AF1B" ma:contentTypeVersion="11" ma:contentTypeDescription="Create a new document." ma:contentTypeScope="" ma:versionID="c80d7ac4e99c148a7578f7116fa32523">
  <xsd:schema xmlns:xsd="http://www.w3.org/2001/XMLSchema" xmlns:xs="http://www.w3.org/2001/XMLSchema" xmlns:p="http://schemas.microsoft.com/office/2006/metadata/properties" xmlns:ns2="1899973c-dc55-4b52-a471-73ccbd03a8aa" xmlns:ns3="c76fafa8-a38f-4658-822f-cde86d03ff4c" targetNamespace="http://schemas.microsoft.com/office/2006/metadata/properties" ma:root="true" ma:fieldsID="c85e3fd7d8d2a0fdb4721d2c7f060560" ns2:_="" ns3:_="">
    <xsd:import namespace="1899973c-dc55-4b52-a471-73ccbd03a8aa"/>
    <xsd:import namespace="c76fafa8-a38f-4658-822f-cde86d0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9973c-dc55-4b52-a471-73ccbd03a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57409b-06e6-4501-ae54-dc18bd4315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fafa8-a38f-4658-822f-cde86d03ff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b2cdb5-af14-42e6-a49e-f36260a5497c}" ma:internalName="TaxCatchAll" ma:showField="CatchAllData" ma:web="c76fafa8-a38f-4658-822f-cde86d0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EFA50-8590-46BA-B433-339C4B970F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0B0D21-3EB5-4278-BAE2-06DF75AC073B}">
  <ds:schemaRefs>
    <ds:schemaRef ds:uri="http://schemas.microsoft.com/office/2006/metadata/properties"/>
    <ds:schemaRef ds:uri="http://schemas.microsoft.com/office/infopath/2007/PartnerControls"/>
    <ds:schemaRef ds:uri="c76fafa8-a38f-4658-822f-cde86d03ff4c"/>
    <ds:schemaRef ds:uri="1899973c-dc55-4b52-a471-73ccbd03a8aa"/>
  </ds:schemaRefs>
</ds:datastoreItem>
</file>

<file path=customXml/itemProps3.xml><?xml version="1.0" encoding="utf-8"?>
<ds:datastoreItem xmlns:ds="http://schemas.openxmlformats.org/officeDocument/2006/customXml" ds:itemID="{4A21FD12-1FC7-40D5-A245-C9A52CB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99973c-dc55-4b52-a471-73ccbd03a8aa"/>
    <ds:schemaRef ds:uri="c76fafa8-a38f-4658-822f-cde86d03ff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KSHAUNISH HARSHA - 70472300007</cp:lastModifiedBy>
  <cp:revision/>
  <dcterms:created xsi:type="dcterms:W3CDTF">2006-09-16T00:00:00Z</dcterms:created>
  <dcterms:modified xsi:type="dcterms:W3CDTF">2026-05-25T15:40:39Z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ContentTypeId">
    <vt:lpwstr>0x010100224692D1DA9BF04384E06947DE24AF1B</vt:lpwstr>
  </property>
</Properties>
</file>