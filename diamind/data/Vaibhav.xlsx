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hau\diamind\raw_data\"/>
    </mc:Choice>
  </mc:AlternateContent>
  <xr:revisionPtr revIDLastSave="0" documentId="13_ncr:1_{1E81D55A-C9A8-4E29-8F89-649806604AC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ock" sheetId="1" r:id="rId1"/>
  </sheets>
  <definedNames>
    <definedName name="_xlnm._FilterDatabase" localSheetId="0" hidden="1">Stock!$A$1:$AP$1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1" l="1"/>
  <c r="E12" i="1"/>
  <c r="M11" i="1"/>
  <c r="E11" i="1"/>
  <c r="M10" i="1"/>
  <c r="E10" i="1"/>
  <c r="M9" i="1"/>
  <c r="E9" i="1"/>
  <c r="M8" i="1"/>
  <c r="E8" i="1"/>
  <c r="M7" i="1"/>
  <c r="E7" i="1"/>
  <c r="M6" i="1"/>
  <c r="E6" i="1"/>
  <c r="M5" i="1"/>
  <c r="E5" i="1"/>
  <c r="M4" i="1"/>
  <c r="E4" i="1"/>
  <c r="M3" i="1"/>
  <c r="E3" i="1"/>
  <c r="M2" i="1"/>
  <c r="E2" i="1"/>
</calcChain>
</file>

<file path=xl/sharedStrings.xml><?xml version="1.0" encoding="utf-8"?>
<sst xmlns="http://schemas.openxmlformats.org/spreadsheetml/2006/main" count="284" uniqueCount="112">
  <si>
    <t>Sr</t>
  </si>
  <si>
    <t>Report No</t>
  </si>
  <si>
    <t>Stone No</t>
  </si>
  <si>
    <t>Shape</t>
  </si>
  <si>
    <t>DNA</t>
  </si>
  <si>
    <t>Carats</t>
  </si>
  <si>
    <t>Color</t>
  </si>
  <si>
    <t>Clarity</t>
  </si>
  <si>
    <t>Cut</t>
  </si>
  <si>
    <t>Polish</t>
  </si>
  <si>
    <t>Symm</t>
  </si>
  <si>
    <t>Fls</t>
  </si>
  <si>
    <t>Lab</t>
  </si>
  <si>
    <t>Lenth</t>
  </si>
  <si>
    <t>Width</t>
  </si>
  <si>
    <t>Depth</t>
  </si>
  <si>
    <t>Depth %</t>
  </si>
  <si>
    <t>Table %</t>
  </si>
  <si>
    <t>Disc %</t>
  </si>
  <si>
    <t>Rap. Price</t>
  </si>
  <si>
    <t>Amount</t>
  </si>
  <si>
    <t>Total Amount</t>
  </si>
  <si>
    <t>Comments 1</t>
  </si>
  <si>
    <t>CB</t>
  </si>
  <si>
    <t>SB</t>
  </si>
  <si>
    <t>CW</t>
  </si>
  <si>
    <t>SW</t>
  </si>
  <si>
    <t>Crown Angle</t>
  </si>
  <si>
    <t>Crown Height</t>
  </si>
  <si>
    <t>Pav Angle</t>
  </si>
  <si>
    <t>Pav Height</t>
  </si>
  <si>
    <t>Shade</t>
  </si>
  <si>
    <t>Milky</t>
  </si>
  <si>
    <t>Key To Symbols</t>
  </si>
  <si>
    <t>Girdle</t>
  </si>
  <si>
    <t>Culet</t>
  </si>
  <si>
    <t>Star</t>
  </si>
  <si>
    <t>Lower</t>
  </si>
  <si>
    <t>Girdle %</t>
  </si>
  <si>
    <t>Report Date</t>
  </si>
  <si>
    <t>Report Comments</t>
  </si>
  <si>
    <t>Origin</t>
  </si>
  <si>
    <t>6545543770</t>
  </si>
  <si>
    <t>246853</t>
  </si>
  <si>
    <t>ROUND</t>
  </si>
  <si>
    <t>G</t>
  </si>
  <si>
    <t>VVS2</t>
  </si>
  <si>
    <t>EX</t>
  </si>
  <si>
    <t>NON</t>
  </si>
  <si>
    <t/>
  </si>
  <si>
    <t>0</t>
  </si>
  <si>
    <t>NONE</t>
  </si>
  <si>
    <t>ML-0</t>
  </si>
  <si>
    <t>Needle, Pinpoint, Feather</t>
  </si>
  <si>
    <t>STK</t>
  </si>
  <si>
    <t>31-01-2026</t>
  </si>
  <si>
    <t>Additional pinpoints are not shown.</t>
  </si>
  <si>
    <t>ANGOLA</t>
  </si>
  <si>
    <t>5543229517</t>
  </si>
  <si>
    <t>246430</t>
  </si>
  <si>
    <t>VS1</t>
  </si>
  <si>
    <t>1</t>
  </si>
  <si>
    <t>Feather, Needle, Cloud, Pinpoint</t>
  </si>
  <si>
    <t>MED to STK</t>
  </si>
  <si>
    <t>12-12-2025</t>
  </si>
  <si>
    <t>CONGO</t>
  </si>
  <si>
    <t>7546843995</t>
  </si>
  <si>
    <t>247363</t>
  </si>
  <si>
    <t>Feather, Cloud, Needle</t>
  </si>
  <si>
    <t>18-03-2026</t>
  </si>
  <si>
    <t>Additional clouds are not shown. Pinpoints are not shown.</t>
  </si>
  <si>
    <t>SOUTH AFRICA</t>
  </si>
  <si>
    <t>7541651529</t>
  </si>
  <si>
    <t>247042</t>
  </si>
  <si>
    <t>MED</t>
  </si>
  <si>
    <t>Crystal, Feather, Pinpoint</t>
  </si>
  <si>
    <t>17-02-2026</t>
  </si>
  <si>
    <t>DTC</t>
  </si>
  <si>
    <t>2546819312</t>
  </si>
  <si>
    <t>247303</t>
  </si>
  <si>
    <t>VS2</t>
  </si>
  <si>
    <t>2</t>
  </si>
  <si>
    <t>Feather, Needle, Pinpoint</t>
  </si>
  <si>
    <t>16-03-2026</t>
  </si>
  <si>
    <t>7531432715</t>
  </si>
  <si>
    <t>244790</t>
  </si>
  <si>
    <t>H</t>
  </si>
  <si>
    <t>Feather</t>
  </si>
  <si>
    <t>15-10-2025</t>
  </si>
  <si>
    <t>BOTSWANA SORT</t>
  </si>
  <si>
    <t>2547165194</t>
  </si>
  <si>
    <t>246335</t>
  </si>
  <si>
    <t>Feather, Pinpoint</t>
  </si>
  <si>
    <t>04-12-2025</t>
  </si>
  <si>
    <t>1535669926</t>
  </si>
  <si>
    <t>244851</t>
  </si>
  <si>
    <t>Cloud, Feather, Indented Natural, Pinpoint, Natural</t>
  </si>
  <si>
    <t>22-10-2025</t>
  </si>
  <si>
    <t>Additional clouds are not shown. Additional pinpoints are not shown.</t>
  </si>
  <si>
    <t>1523941906</t>
  </si>
  <si>
    <t>243772</t>
  </si>
  <si>
    <t>Cloud, Needle</t>
  </si>
  <si>
    <t>04-08-2025</t>
  </si>
  <si>
    <t>2235876841</t>
  </si>
  <si>
    <t>HV25-666</t>
  </si>
  <si>
    <t>Cloud, Crystal, Pinpoint</t>
  </si>
  <si>
    <t>THN to MED</t>
  </si>
  <si>
    <t>6542027142</t>
  </si>
  <si>
    <t>245874</t>
  </si>
  <si>
    <t>FNT</t>
  </si>
  <si>
    <t>Feather, Crystal, Needle, Pinpoint, Cloud</t>
  </si>
  <si>
    <t>19-11-2025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</si>
</sst>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_-[$$-409]* #,##0.00_ ;_-[$$-409]* \-#,##0.00\ ;_-[$$-409]* &quot;-&quot;??_ ;_-@_ "/>
  </numFmts>
  <fonts count="10">
    <font>
      <sz val="11"/>
      <name val="Calibri"/>
    </font>
    <font>
      <b/>
      <sz val="10"/>
      <color rgb="FF000000"/>
      <name val="Cambria"/>
      <family val="1"/>
      <scheme val="major"/>
    </font>
    <font>
      <sz val="10"/>
      <name val="Cambria"/>
      <family val="1"/>
      <scheme val="major"/>
    </font>
    <font>
      <sz val="10"/>
      <color rgb="FF000000"/>
      <name val="Cambria"/>
      <family val="1"/>
      <scheme val="major"/>
    </font>
    <font>
      <b/>
      <u/>
      <sz val="10"/>
      <color rgb="FF0000FF"/>
      <name val="Cambria"/>
      <family val="1"/>
      <scheme val="major"/>
    </font>
    <font>
      <b/>
      <sz val="10"/>
      <name val="Cambria"/>
      <family val="1"/>
      <scheme val="major"/>
    </font>
    <font>
      <sz val="10"/>
      <name val="Arial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BC2E6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6" fillId="0" borderId="0"/>
    <xf numFmtId="0" fontId="7" fillId="0" borderId="0"/>
    <xf numFmtId="0" fontId="8" fillId="0" borderId="0"/>
    <xf numFmtId="0" fontId="9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2" fontId="1" fillId="4" borderId="5" xfId="0" applyNumberFormat="1" applyFont="1" applyFill="1" applyBorder="1" applyAlignment="1">
      <alignment horizontal="center" vertical="center"/>
    </xf>
    <xf numFmtId="2" fontId="1" fillId="4" borderId="6" xfId="0" applyNumberFormat="1" applyFont="1" applyFill="1" applyBorder="1" applyAlignment="1">
      <alignment horizontal="center" vertical="center"/>
    </xf>
    <xf numFmtId="2" fontId="1" fillId="4" borderId="7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1" xr:uid="{E1F029D5-5E33-4FE5-A5F3-57755645F742}"/>
    <cellStyle name="Normal 3" xfId="2" xr:uid="{3FA5A850-E5E0-4228-A0BB-711B7A8142E7}"/>
    <cellStyle name="Normal 4" xfId="3" xr:uid="{1192CC00-1773-4BEA-8A3D-D36AF14265F2}"/>
    <cellStyle name="Normal 5" xfId="4" xr:uid="{AB51EBBF-77E6-4AFD-A031-98A54D2B96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"/>
  <sheetViews>
    <sheetView tabSelected="1" workbookViewId="0">
      <selection activeCell="R16" sqref="R16"/>
    </sheetView>
  </sheetViews>
  <sheetFormatPr defaultColWidth="9.109375" defaultRowHeight="20.100000000000001" customHeight="1"/>
  <cols>
    <col min="1" max="1" width="3" style="5" bestFit="1" customWidth="1"/>
    <col min="2" max="2" width="11" style="5" bestFit="1" customWidth="1"/>
    <col min="3" max="3" width="9" style="5" bestFit="1" customWidth="1"/>
    <col min="4" max="4" width="7.109375" style="5" bestFit="1" customWidth="1"/>
    <col min="5" max="5" width="4.6640625" style="7" bestFit="1" customWidth="1"/>
    <col min="6" max="6" width="6.44140625" style="5" bestFit="1" customWidth="1"/>
    <col min="7" max="7" width="5.44140625" style="5" bestFit="1" customWidth="1"/>
    <col min="8" max="8" width="6.6640625" style="5" bestFit="1" customWidth="1"/>
    <col min="9" max="9" width="3.88671875" style="5" bestFit="1" customWidth="1"/>
    <col min="10" max="10" width="6.33203125" style="5" bestFit="1" customWidth="1"/>
    <col min="11" max="11" width="6.44140625" style="5" bestFit="1" customWidth="1"/>
    <col min="12" max="12" width="4.88671875" style="5" bestFit="1" customWidth="1"/>
    <col min="13" max="13" width="4.109375" style="7" bestFit="1" customWidth="1"/>
    <col min="14" max="14" width="6" style="5" bestFit="1" customWidth="1"/>
    <col min="15" max="16" width="6.33203125" style="5" bestFit="1" customWidth="1"/>
    <col min="17" max="17" width="8.5546875" style="5" bestFit="1" customWidth="1"/>
    <col min="18" max="18" width="8.109375" style="5" bestFit="1" customWidth="1"/>
    <col min="19" max="19" width="6.88671875" style="5" bestFit="1" customWidth="1"/>
    <col min="20" max="20" width="10.88671875" style="5" bestFit="1" customWidth="1"/>
    <col min="21" max="21" width="9.88671875" style="5" bestFit="1" customWidth="1"/>
    <col min="22" max="22" width="12.6640625" style="5" bestFit="1" customWidth="1"/>
    <col min="23" max="23" width="11.6640625" style="5" bestFit="1" customWidth="1"/>
    <col min="24" max="25" width="3.109375" style="5" bestFit="1" customWidth="1"/>
    <col min="26" max="27" width="3.6640625" style="5" bestFit="1" customWidth="1"/>
    <col min="28" max="28" width="11.6640625" style="5" bestFit="1" customWidth="1"/>
    <col min="29" max="29" width="12.5546875" style="5" bestFit="1" customWidth="1"/>
    <col min="30" max="30" width="9.44140625" style="5" bestFit="1" customWidth="1"/>
    <col min="31" max="31" width="10.33203125" style="5" bestFit="1" customWidth="1"/>
    <col min="32" max="32" width="6.33203125" style="5" bestFit="1" customWidth="1"/>
    <col min="33" max="33" width="5.88671875" style="5" bestFit="1" customWidth="1"/>
    <col min="34" max="34" width="41.5546875" style="5" bestFit="1" customWidth="1"/>
    <col min="35" max="35" width="11" style="5" bestFit="1" customWidth="1"/>
    <col min="36" max="37" width="5.44140625" style="5" bestFit="1" customWidth="1"/>
    <col min="38" max="38" width="6.33203125" style="5" bestFit="1" customWidth="1"/>
    <col min="39" max="39" width="8.5546875" style="5" bestFit="1" customWidth="1"/>
    <col min="40" max="40" width="11.44140625" style="5" bestFit="1" customWidth="1"/>
    <col min="41" max="41" width="57.33203125" style="5" bestFit="1" customWidth="1"/>
    <col min="42" max="42" width="15.6640625" style="5" bestFit="1" customWidth="1"/>
    <col min="43" max="16384" width="9.109375" style="5"/>
  </cols>
  <sheetData>
    <row r="1" spans="1:42" ht="20.100000000000001" customHeight="1" thickBot="1">
      <c r="A1" s="4" t="s">
        <v>0</v>
      </c>
      <c r="B1" s="4" t="s">
        <v>1</v>
      </c>
      <c r="C1" s="4" t="s">
        <v>2</v>
      </c>
      <c r="D1" s="4" t="s">
        <v>3</v>
      </c>
      <c r="E1" s="8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8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10" t="s">
        <v>18</v>
      </c>
      <c r="T1" s="8" t="s">
        <v>19</v>
      </c>
      <c r="U1" s="8" t="s">
        <v>20</v>
      </c>
      <c r="V1" s="8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8" t="s">
        <v>31</v>
      </c>
      <c r="AG1" s="8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8" t="s">
        <v>41</v>
      </c>
    </row>
    <row r="2" spans="1:42" ht="20.100000000000001" customHeight="1">
      <c r="A2" s="1">
        <v>1</v>
      </c>
      <c r="B2" s="1" t="s">
        <v>42</v>
      </c>
      <c r="C2" s="1" t="s">
        <v>43</v>
      </c>
      <c r="D2" s="1" t="s">
        <v>44</v>
      </c>
      <c r="E2" s="6" t="str">
        <f>HYPERLINK("http://ddetail.co/?PacketNo=246853","DNA")</f>
        <v>DNA</v>
      </c>
      <c r="F2" s="2">
        <v>1.5</v>
      </c>
      <c r="G2" s="1" t="s">
        <v>45</v>
      </c>
      <c r="H2" s="1" t="s">
        <v>46</v>
      </c>
      <c r="I2" s="1" t="s">
        <v>47</v>
      </c>
      <c r="J2" s="1" t="s">
        <v>47</v>
      </c>
      <c r="K2" s="1" t="s">
        <v>47</v>
      </c>
      <c r="L2" s="1" t="s">
        <v>48</v>
      </c>
      <c r="M2" s="6" t="str">
        <f>HYPERLINK("https://www.gia.edu/report-check?reportno=6545543770","GIA")</f>
        <v>GIA</v>
      </c>
      <c r="N2" s="2">
        <v>7.26</v>
      </c>
      <c r="O2" s="2">
        <v>7.19</v>
      </c>
      <c r="P2" s="2">
        <v>4.55</v>
      </c>
      <c r="Q2" s="2">
        <v>62.9</v>
      </c>
      <c r="R2" s="9">
        <v>57</v>
      </c>
      <c r="S2" s="13">
        <v>-48</v>
      </c>
      <c r="T2" s="11">
        <v>10800</v>
      </c>
      <c r="U2" s="12">
        <v>5616</v>
      </c>
      <c r="V2" s="12">
        <v>8424</v>
      </c>
      <c r="W2" s="1" t="s">
        <v>49</v>
      </c>
      <c r="X2" s="1" t="s">
        <v>50</v>
      </c>
      <c r="Y2" s="1" t="s">
        <v>50</v>
      </c>
      <c r="Z2" s="1" t="s">
        <v>50</v>
      </c>
      <c r="AA2" s="1" t="s">
        <v>50</v>
      </c>
      <c r="AB2" s="2">
        <v>36</v>
      </c>
      <c r="AC2" s="2">
        <v>16</v>
      </c>
      <c r="AD2" s="2">
        <v>40.6</v>
      </c>
      <c r="AE2" s="2">
        <v>43</v>
      </c>
      <c r="AF2" s="1" t="s">
        <v>51</v>
      </c>
      <c r="AG2" s="1" t="s">
        <v>52</v>
      </c>
      <c r="AH2" s="1" t="s">
        <v>53</v>
      </c>
      <c r="AI2" s="1" t="s">
        <v>54</v>
      </c>
      <c r="AJ2" s="1" t="s">
        <v>48</v>
      </c>
      <c r="AK2" s="2">
        <v>55</v>
      </c>
      <c r="AL2" s="2">
        <v>80</v>
      </c>
      <c r="AM2" s="2">
        <v>4</v>
      </c>
      <c r="AN2" s="3" t="s">
        <v>55</v>
      </c>
      <c r="AO2" s="1" t="s">
        <v>56</v>
      </c>
      <c r="AP2" s="1" t="s">
        <v>57</v>
      </c>
    </row>
    <row r="3" spans="1:42" ht="20.100000000000001" customHeight="1">
      <c r="A3" s="1">
        <v>2</v>
      </c>
      <c r="B3" s="1" t="s">
        <v>58</v>
      </c>
      <c r="C3" s="1" t="s">
        <v>59</v>
      </c>
      <c r="D3" s="1" t="s">
        <v>44</v>
      </c>
      <c r="E3" s="6" t="str">
        <f>HYPERLINK("http://ddetail.co/?PacketNo=246430","DNA")</f>
        <v>DNA</v>
      </c>
      <c r="F3" s="2">
        <v>1.5</v>
      </c>
      <c r="G3" s="1" t="s">
        <v>45</v>
      </c>
      <c r="H3" s="1" t="s">
        <v>60</v>
      </c>
      <c r="I3" s="1" t="s">
        <v>47</v>
      </c>
      <c r="J3" s="1" t="s">
        <v>47</v>
      </c>
      <c r="K3" s="1" t="s">
        <v>47</v>
      </c>
      <c r="L3" s="1" t="s">
        <v>48</v>
      </c>
      <c r="M3" s="6" t="str">
        <f>HYPERLINK("https://www.gia.edu/report-check?reportno=5543229517","GIA")</f>
        <v>GIA</v>
      </c>
      <c r="N3" s="2">
        <v>7.3</v>
      </c>
      <c r="O3" s="2">
        <v>7.24</v>
      </c>
      <c r="P3" s="2">
        <v>4.55</v>
      </c>
      <c r="Q3" s="2">
        <v>62.6</v>
      </c>
      <c r="R3" s="9">
        <v>59</v>
      </c>
      <c r="S3" s="14"/>
      <c r="T3" s="11">
        <v>9400</v>
      </c>
      <c r="U3" s="12">
        <v>4888</v>
      </c>
      <c r="V3" s="12">
        <v>7332</v>
      </c>
      <c r="W3" s="1" t="s">
        <v>49</v>
      </c>
      <c r="X3" s="1" t="s">
        <v>50</v>
      </c>
      <c r="Y3" s="1" t="s">
        <v>50</v>
      </c>
      <c r="Z3" s="1" t="s">
        <v>50</v>
      </c>
      <c r="AA3" s="1" t="s">
        <v>61</v>
      </c>
      <c r="AB3" s="2">
        <v>33.5</v>
      </c>
      <c r="AC3" s="2">
        <v>13.5</v>
      </c>
      <c r="AD3" s="2">
        <v>41.6</v>
      </c>
      <c r="AE3" s="2">
        <v>44.5</v>
      </c>
      <c r="AF3" s="1" t="s">
        <v>51</v>
      </c>
      <c r="AG3" s="1" t="s">
        <v>52</v>
      </c>
      <c r="AH3" s="1" t="s">
        <v>62</v>
      </c>
      <c r="AI3" s="1" t="s">
        <v>63</v>
      </c>
      <c r="AJ3" s="1" t="s">
        <v>48</v>
      </c>
      <c r="AK3" s="2">
        <v>55</v>
      </c>
      <c r="AL3" s="2">
        <v>75</v>
      </c>
      <c r="AM3" s="2">
        <v>4.5</v>
      </c>
      <c r="AN3" s="3" t="s">
        <v>64</v>
      </c>
      <c r="AO3" s="1" t="s">
        <v>49</v>
      </c>
      <c r="AP3" s="1" t="s">
        <v>65</v>
      </c>
    </row>
    <row r="4" spans="1:42" ht="20.100000000000001" customHeight="1">
      <c r="A4" s="1">
        <v>3</v>
      </c>
      <c r="B4" s="1" t="s">
        <v>66</v>
      </c>
      <c r="C4" s="1" t="s">
        <v>67</v>
      </c>
      <c r="D4" s="1" t="s">
        <v>44</v>
      </c>
      <c r="E4" s="6" t="str">
        <f>HYPERLINK("http://ddetail.co/?PacketNo=247363","DNA")</f>
        <v>DNA</v>
      </c>
      <c r="F4" s="2">
        <v>1.5</v>
      </c>
      <c r="G4" s="1" t="s">
        <v>45</v>
      </c>
      <c r="H4" s="1" t="s">
        <v>60</v>
      </c>
      <c r="I4" s="1" t="s">
        <v>47</v>
      </c>
      <c r="J4" s="1" t="s">
        <v>47</v>
      </c>
      <c r="K4" s="1" t="s">
        <v>47</v>
      </c>
      <c r="L4" s="1" t="s">
        <v>48</v>
      </c>
      <c r="M4" s="6" t="str">
        <f>HYPERLINK("https://www.gia.edu/report-check?reportno=7546843995","GIA")</f>
        <v>GIA</v>
      </c>
      <c r="N4" s="2">
        <v>7.29</v>
      </c>
      <c r="O4" s="2">
        <v>7.23</v>
      </c>
      <c r="P4" s="2">
        <v>4.5599999999999996</v>
      </c>
      <c r="Q4" s="2">
        <v>62.8</v>
      </c>
      <c r="R4" s="9">
        <v>60</v>
      </c>
      <c r="S4" s="14"/>
      <c r="T4" s="11">
        <v>9400</v>
      </c>
      <c r="U4" s="12">
        <v>4888</v>
      </c>
      <c r="V4" s="12">
        <v>7332</v>
      </c>
      <c r="W4" s="1" t="s">
        <v>49</v>
      </c>
      <c r="X4" s="1" t="s">
        <v>50</v>
      </c>
      <c r="Y4" s="1" t="s">
        <v>61</v>
      </c>
      <c r="Z4" s="1" t="s">
        <v>50</v>
      </c>
      <c r="AA4" s="1" t="s">
        <v>61</v>
      </c>
      <c r="AB4" s="2">
        <v>34</v>
      </c>
      <c r="AC4" s="2">
        <v>13.5</v>
      </c>
      <c r="AD4" s="2">
        <v>41.8</v>
      </c>
      <c r="AE4" s="2">
        <v>44.5</v>
      </c>
      <c r="AF4" s="1" t="s">
        <v>51</v>
      </c>
      <c r="AG4" s="1" t="s">
        <v>52</v>
      </c>
      <c r="AH4" s="1" t="s">
        <v>68</v>
      </c>
      <c r="AI4" s="1" t="s">
        <v>63</v>
      </c>
      <c r="AJ4" s="1" t="s">
        <v>48</v>
      </c>
      <c r="AK4" s="2">
        <v>50</v>
      </c>
      <c r="AL4" s="2">
        <v>80</v>
      </c>
      <c r="AM4" s="2">
        <v>4.5</v>
      </c>
      <c r="AN4" s="3" t="s">
        <v>69</v>
      </c>
      <c r="AO4" s="1" t="s">
        <v>70</v>
      </c>
      <c r="AP4" s="1" t="s">
        <v>71</v>
      </c>
    </row>
    <row r="5" spans="1:42" ht="20.100000000000001" customHeight="1">
      <c r="A5" s="1">
        <v>4</v>
      </c>
      <c r="B5" s="1" t="s">
        <v>72</v>
      </c>
      <c r="C5" s="1" t="s">
        <v>73</v>
      </c>
      <c r="D5" s="1" t="s">
        <v>44</v>
      </c>
      <c r="E5" s="6" t="str">
        <f>HYPERLINK("http://ddetail.co/?PacketNo=247042","DNA")</f>
        <v>DNA</v>
      </c>
      <c r="F5" s="2">
        <v>1.5</v>
      </c>
      <c r="G5" s="1" t="s">
        <v>45</v>
      </c>
      <c r="H5" s="1" t="s">
        <v>60</v>
      </c>
      <c r="I5" s="1" t="s">
        <v>47</v>
      </c>
      <c r="J5" s="1" t="s">
        <v>47</v>
      </c>
      <c r="K5" s="1" t="s">
        <v>47</v>
      </c>
      <c r="L5" s="1" t="s">
        <v>74</v>
      </c>
      <c r="M5" s="6" t="str">
        <f>HYPERLINK("https://www.gia.edu/report-check?reportno=7541651529","GIA")</f>
        <v>GIA</v>
      </c>
      <c r="N5" s="2">
        <v>7.26</v>
      </c>
      <c r="O5" s="2">
        <v>7.2</v>
      </c>
      <c r="P5" s="2">
        <v>4.54</v>
      </c>
      <c r="Q5" s="2">
        <v>62.8</v>
      </c>
      <c r="R5" s="9">
        <v>58</v>
      </c>
      <c r="S5" s="14"/>
      <c r="T5" s="11">
        <v>9400</v>
      </c>
      <c r="U5" s="12">
        <v>4888</v>
      </c>
      <c r="V5" s="12">
        <v>7332</v>
      </c>
      <c r="W5" s="1" t="s">
        <v>49</v>
      </c>
      <c r="X5" s="1" t="s">
        <v>61</v>
      </c>
      <c r="Y5" s="1" t="s">
        <v>50</v>
      </c>
      <c r="Z5" s="1" t="s">
        <v>50</v>
      </c>
      <c r="AA5" s="1" t="s">
        <v>61</v>
      </c>
      <c r="AB5" s="2">
        <v>36</v>
      </c>
      <c r="AC5" s="2">
        <v>15.5</v>
      </c>
      <c r="AD5" s="2">
        <v>40.799999999999997</v>
      </c>
      <c r="AE5" s="2">
        <v>43</v>
      </c>
      <c r="AF5" s="1" t="s">
        <v>51</v>
      </c>
      <c r="AG5" s="1" t="s">
        <v>52</v>
      </c>
      <c r="AH5" s="1" t="s">
        <v>75</v>
      </c>
      <c r="AI5" s="1" t="s">
        <v>54</v>
      </c>
      <c r="AJ5" s="1" t="s">
        <v>48</v>
      </c>
      <c r="AK5" s="2">
        <v>55</v>
      </c>
      <c r="AL5" s="2">
        <v>75</v>
      </c>
      <c r="AM5" s="2">
        <v>4</v>
      </c>
      <c r="AN5" s="3" t="s">
        <v>76</v>
      </c>
      <c r="AO5" s="1" t="s">
        <v>56</v>
      </c>
      <c r="AP5" s="1" t="s">
        <v>77</v>
      </c>
    </row>
    <row r="6" spans="1:42" ht="20.100000000000001" customHeight="1">
      <c r="A6" s="1">
        <v>5</v>
      </c>
      <c r="B6" s="1" t="s">
        <v>78</v>
      </c>
      <c r="C6" s="1" t="s">
        <v>79</v>
      </c>
      <c r="D6" s="1" t="s">
        <v>44</v>
      </c>
      <c r="E6" s="6" t="str">
        <f>HYPERLINK("http://ddetail.co/?PacketNo=247303","DNA")</f>
        <v>DNA</v>
      </c>
      <c r="F6" s="2">
        <v>1.5</v>
      </c>
      <c r="G6" s="1" t="s">
        <v>45</v>
      </c>
      <c r="H6" s="1" t="s">
        <v>80</v>
      </c>
      <c r="I6" s="1" t="s">
        <v>47</v>
      </c>
      <c r="J6" s="1" t="s">
        <v>47</v>
      </c>
      <c r="K6" s="1" t="s">
        <v>47</v>
      </c>
      <c r="L6" s="1" t="s">
        <v>48</v>
      </c>
      <c r="M6" s="6" t="str">
        <f>HYPERLINK("https://www.gia.edu/report-check?reportno=2546819312","GIA")</f>
        <v>GIA</v>
      </c>
      <c r="N6" s="2">
        <v>7.26</v>
      </c>
      <c r="O6" s="2">
        <v>7.21</v>
      </c>
      <c r="P6" s="2">
        <v>4.54</v>
      </c>
      <c r="Q6" s="2">
        <v>62.8</v>
      </c>
      <c r="R6" s="9">
        <v>58</v>
      </c>
      <c r="S6" s="14"/>
      <c r="T6" s="11">
        <v>8500</v>
      </c>
      <c r="U6" s="12">
        <v>4420</v>
      </c>
      <c r="V6" s="12">
        <v>6630</v>
      </c>
      <c r="W6" s="1" t="s">
        <v>49</v>
      </c>
      <c r="X6" s="1" t="s">
        <v>50</v>
      </c>
      <c r="Y6" s="1" t="s">
        <v>50</v>
      </c>
      <c r="Z6" s="1" t="s">
        <v>50</v>
      </c>
      <c r="AA6" s="1" t="s">
        <v>81</v>
      </c>
      <c r="AB6" s="2">
        <v>36</v>
      </c>
      <c r="AC6" s="2">
        <v>15.5</v>
      </c>
      <c r="AD6" s="2">
        <v>40.799999999999997</v>
      </c>
      <c r="AE6" s="2">
        <v>43</v>
      </c>
      <c r="AF6" s="1" t="s">
        <v>51</v>
      </c>
      <c r="AG6" s="1" t="s">
        <v>52</v>
      </c>
      <c r="AH6" s="1" t="s">
        <v>82</v>
      </c>
      <c r="AI6" s="1" t="s">
        <v>63</v>
      </c>
      <c r="AJ6" s="1" t="s">
        <v>48</v>
      </c>
      <c r="AK6" s="2">
        <v>55</v>
      </c>
      <c r="AL6" s="2">
        <v>75</v>
      </c>
      <c r="AM6" s="2">
        <v>4</v>
      </c>
      <c r="AN6" s="3" t="s">
        <v>83</v>
      </c>
      <c r="AO6" s="1" t="s">
        <v>56</v>
      </c>
      <c r="AP6" s="1" t="s">
        <v>57</v>
      </c>
    </row>
    <row r="7" spans="1:42" ht="20.100000000000001" customHeight="1">
      <c r="A7" s="1">
        <v>6</v>
      </c>
      <c r="B7" s="1" t="s">
        <v>84</v>
      </c>
      <c r="C7" s="1" t="s">
        <v>85</v>
      </c>
      <c r="D7" s="1" t="s">
        <v>44</v>
      </c>
      <c r="E7" s="6" t="str">
        <f>HYPERLINK("http://ddetail.co/?PacketNo=244790","DNA")</f>
        <v>DNA</v>
      </c>
      <c r="F7" s="2">
        <v>1.5</v>
      </c>
      <c r="G7" s="1" t="s">
        <v>86</v>
      </c>
      <c r="H7" s="1" t="s">
        <v>46</v>
      </c>
      <c r="I7" s="1" t="s">
        <v>47</v>
      </c>
      <c r="J7" s="1" t="s">
        <v>47</v>
      </c>
      <c r="K7" s="1" t="s">
        <v>47</v>
      </c>
      <c r="L7" s="1" t="s">
        <v>48</v>
      </c>
      <c r="M7" s="6" t="str">
        <f>HYPERLINK("https://www.gia.edu/report-check?reportno=7531432715","GIA")</f>
        <v>GIA</v>
      </c>
      <c r="N7" s="2">
        <v>7.27</v>
      </c>
      <c r="O7" s="2">
        <v>7.21</v>
      </c>
      <c r="P7" s="2">
        <v>4.55</v>
      </c>
      <c r="Q7" s="2">
        <v>62.9</v>
      </c>
      <c r="R7" s="9">
        <v>58</v>
      </c>
      <c r="S7" s="14"/>
      <c r="T7" s="11">
        <v>8600</v>
      </c>
      <c r="U7" s="12">
        <v>4472</v>
      </c>
      <c r="V7" s="12">
        <v>6708</v>
      </c>
      <c r="W7" s="1" t="s">
        <v>49</v>
      </c>
      <c r="X7" s="1" t="s">
        <v>50</v>
      </c>
      <c r="Y7" s="1" t="s">
        <v>50</v>
      </c>
      <c r="Z7" s="1" t="s">
        <v>50</v>
      </c>
      <c r="AA7" s="1" t="s">
        <v>61</v>
      </c>
      <c r="AB7" s="2">
        <v>36</v>
      </c>
      <c r="AC7" s="2">
        <v>15.5</v>
      </c>
      <c r="AD7" s="2">
        <v>40.799999999999997</v>
      </c>
      <c r="AE7" s="2">
        <v>43.5</v>
      </c>
      <c r="AF7" s="1" t="s">
        <v>51</v>
      </c>
      <c r="AG7" s="1" t="s">
        <v>52</v>
      </c>
      <c r="AH7" s="1" t="s">
        <v>87</v>
      </c>
      <c r="AI7" s="1" t="s">
        <v>63</v>
      </c>
      <c r="AJ7" s="1" t="s">
        <v>48</v>
      </c>
      <c r="AK7" s="2">
        <v>55</v>
      </c>
      <c r="AL7" s="2">
        <v>75</v>
      </c>
      <c r="AM7" s="2">
        <v>4</v>
      </c>
      <c r="AN7" s="3" t="s">
        <v>88</v>
      </c>
      <c r="AO7" s="1" t="s">
        <v>49</v>
      </c>
      <c r="AP7" s="1" t="s">
        <v>89</v>
      </c>
    </row>
    <row r="8" spans="1:42" ht="20.100000000000001" customHeight="1">
      <c r="A8" s="1">
        <v>7</v>
      </c>
      <c r="B8" s="1" t="s">
        <v>90</v>
      </c>
      <c r="C8" s="1" t="s">
        <v>91</v>
      </c>
      <c r="D8" s="1" t="s">
        <v>44</v>
      </c>
      <c r="E8" s="6" t="str">
        <f>HYPERLINK("http://ddetail.co/?PacketNo=246335","DNA")</f>
        <v>DNA</v>
      </c>
      <c r="F8" s="2">
        <v>1.5</v>
      </c>
      <c r="G8" s="1" t="s">
        <v>86</v>
      </c>
      <c r="H8" s="1" t="s">
        <v>46</v>
      </c>
      <c r="I8" s="1" t="s">
        <v>47</v>
      </c>
      <c r="J8" s="1" t="s">
        <v>47</v>
      </c>
      <c r="K8" s="1" t="s">
        <v>47</v>
      </c>
      <c r="L8" s="1" t="s">
        <v>48</v>
      </c>
      <c r="M8" s="6" t="str">
        <f>HYPERLINK("https://www.gia.edu/report-check?reportno=2547165194","GIA")</f>
        <v>GIA</v>
      </c>
      <c r="N8" s="2">
        <v>7.41</v>
      </c>
      <c r="O8" s="2">
        <v>7.39</v>
      </c>
      <c r="P8" s="2">
        <v>4.4400000000000004</v>
      </c>
      <c r="Q8" s="2">
        <v>60</v>
      </c>
      <c r="R8" s="9">
        <v>59</v>
      </c>
      <c r="S8" s="14"/>
      <c r="T8" s="11">
        <v>8600</v>
      </c>
      <c r="U8" s="12">
        <v>4472</v>
      </c>
      <c r="V8" s="12">
        <v>6708</v>
      </c>
      <c r="W8" s="1" t="s">
        <v>49</v>
      </c>
      <c r="X8" s="1" t="s">
        <v>50</v>
      </c>
      <c r="Y8" s="1" t="s">
        <v>50</v>
      </c>
      <c r="Z8" s="1" t="s">
        <v>50</v>
      </c>
      <c r="AA8" s="1" t="s">
        <v>50</v>
      </c>
      <c r="AB8" s="2">
        <v>31.5</v>
      </c>
      <c r="AC8" s="2">
        <v>12.5</v>
      </c>
      <c r="AD8" s="2">
        <v>41</v>
      </c>
      <c r="AE8" s="2">
        <v>43.5</v>
      </c>
      <c r="AF8" s="1" t="s">
        <v>51</v>
      </c>
      <c r="AG8" s="1" t="s">
        <v>52</v>
      </c>
      <c r="AH8" s="1" t="s">
        <v>92</v>
      </c>
      <c r="AI8" s="1" t="s">
        <v>54</v>
      </c>
      <c r="AJ8" s="1" t="s">
        <v>48</v>
      </c>
      <c r="AK8" s="2">
        <v>55</v>
      </c>
      <c r="AL8" s="2">
        <v>75</v>
      </c>
      <c r="AM8" s="2">
        <v>4</v>
      </c>
      <c r="AN8" s="3" t="s">
        <v>93</v>
      </c>
      <c r="AO8" s="1" t="s">
        <v>56</v>
      </c>
      <c r="AP8" s="1" t="s">
        <v>65</v>
      </c>
    </row>
    <row r="9" spans="1:42" ht="20.100000000000001" customHeight="1">
      <c r="A9" s="1">
        <v>8</v>
      </c>
      <c r="B9" s="1" t="s">
        <v>94</v>
      </c>
      <c r="C9" s="1" t="s">
        <v>95</v>
      </c>
      <c r="D9" s="1" t="s">
        <v>44</v>
      </c>
      <c r="E9" s="6" t="str">
        <f>HYPERLINK("http://ddetail.co/?PacketNo=244851","DNA")</f>
        <v>DNA</v>
      </c>
      <c r="F9" s="2">
        <v>1.5</v>
      </c>
      <c r="G9" s="1" t="s">
        <v>86</v>
      </c>
      <c r="H9" s="1" t="s">
        <v>60</v>
      </c>
      <c r="I9" s="1" t="s">
        <v>47</v>
      </c>
      <c r="J9" s="1" t="s">
        <v>47</v>
      </c>
      <c r="K9" s="1" t="s">
        <v>47</v>
      </c>
      <c r="L9" s="1" t="s">
        <v>48</v>
      </c>
      <c r="M9" s="6" t="str">
        <f>HYPERLINK("https://www.gia.edu/report-check?reportno=1535669926","GIA")</f>
        <v>GIA</v>
      </c>
      <c r="N9" s="2">
        <v>7.27</v>
      </c>
      <c r="O9" s="2">
        <v>7.22</v>
      </c>
      <c r="P9" s="2">
        <v>4.55</v>
      </c>
      <c r="Q9" s="2">
        <v>62.8</v>
      </c>
      <c r="R9" s="9">
        <v>57</v>
      </c>
      <c r="S9" s="14"/>
      <c r="T9" s="11">
        <v>7700</v>
      </c>
      <c r="U9" s="12">
        <v>4004</v>
      </c>
      <c r="V9" s="12">
        <v>6006</v>
      </c>
      <c r="W9" s="1" t="s">
        <v>49</v>
      </c>
      <c r="X9" s="1" t="s">
        <v>50</v>
      </c>
      <c r="Y9" s="1" t="s">
        <v>50</v>
      </c>
      <c r="Z9" s="1" t="s">
        <v>50</v>
      </c>
      <c r="AA9" s="1" t="s">
        <v>61</v>
      </c>
      <c r="AB9" s="2">
        <v>36</v>
      </c>
      <c r="AC9" s="2">
        <v>16</v>
      </c>
      <c r="AD9" s="2">
        <v>40.6</v>
      </c>
      <c r="AE9" s="2">
        <v>43</v>
      </c>
      <c r="AF9" s="1" t="s">
        <v>51</v>
      </c>
      <c r="AG9" s="1" t="s">
        <v>52</v>
      </c>
      <c r="AH9" s="1" t="s">
        <v>96</v>
      </c>
      <c r="AI9" s="1" t="s">
        <v>54</v>
      </c>
      <c r="AJ9" s="1" t="s">
        <v>48</v>
      </c>
      <c r="AK9" s="2">
        <v>55</v>
      </c>
      <c r="AL9" s="2">
        <v>80</v>
      </c>
      <c r="AM9" s="2">
        <v>4</v>
      </c>
      <c r="AN9" s="3" t="s">
        <v>97</v>
      </c>
      <c r="AO9" s="1" t="s">
        <v>98</v>
      </c>
      <c r="AP9" s="1" t="s">
        <v>77</v>
      </c>
    </row>
    <row r="10" spans="1:42" ht="20.100000000000001" customHeight="1">
      <c r="A10" s="1">
        <v>9</v>
      </c>
      <c r="B10" s="1" t="s">
        <v>99</v>
      </c>
      <c r="C10" s="1" t="s">
        <v>100</v>
      </c>
      <c r="D10" s="1" t="s">
        <v>44</v>
      </c>
      <c r="E10" s="6" t="str">
        <f>HYPERLINK("http://ddetail.co/?PacketNo=243772","DNA")</f>
        <v>DNA</v>
      </c>
      <c r="F10" s="2">
        <v>1.5</v>
      </c>
      <c r="G10" s="1" t="s">
        <v>86</v>
      </c>
      <c r="H10" s="1" t="s">
        <v>80</v>
      </c>
      <c r="I10" s="1" t="s">
        <v>47</v>
      </c>
      <c r="J10" s="1" t="s">
        <v>47</v>
      </c>
      <c r="K10" s="1" t="s">
        <v>47</v>
      </c>
      <c r="L10" s="1" t="s">
        <v>48</v>
      </c>
      <c r="M10" s="6" t="str">
        <f>HYPERLINK("https://www.gia.edu/report-check?reportno=1523941906","GIA")</f>
        <v>GIA</v>
      </c>
      <c r="N10" s="2">
        <v>7.28</v>
      </c>
      <c r="O10" s="2">
        <v>7.24</v>
      </c>
      <c r="P10" s="2">
        <v>4.49</v>
      </c>
      <c r="Q10" s="2">
        <v>61.9</v>
      </c>
      <c r="R10" s="9">
        <v>59</v>
      </c>
      <c r="S10" s="14"/>
      <c r="T10" s="11">
        <v>7000</v>
      </c>
      <c r="U10" s="12">
        <v>3640</v>
      </c>
      <c r="V10" s="12">
        <v>5460</v>
      </c>
      <c r="W10" s="1" t="s">
        <v>49</v>
      </c>
      <c r="X10" s="1" t="s">
        <v>50</v>
      </c>
      <c r="Y10" s="1" t="s">
        <v>50</v>
      </c>
      <c r="Z10" s="1" t="s">
        <v>61</v>
      </c>
      <c r="AA10" s="1" t="s">
        <v>61</v>
      </c>
      <c r="AB10" s="2">
        <v>35</v>
      </c>
      <c r="AC10" s="2">
        <v>14.5</v>
      </c>
      <c r="AD10" s="2">
        <v>40.6</v>
      </c>
      <c r="AE10" s="2">
        <v>43</v>
      </c>
      <c r="AF10" s="1" t="s">
        <v>51</v>
      </c>
      <c r="AG10" s="1" t="s">
        <v>52</v>
      </c>
      <c r="AH10" s="1" t="s">
        <v>101</v>
      </c>
      <c r="AI10" s="1" t="s">
        <v>63</v>
      </c>
      <c r="AJ10" s="1" t="s">
        <v>48</v>
      </c>
      <c r="AK10" s="2">
        <v>55</v>
      </c>
      <c r="AL10" s="2">
        <v>75</v>
      </c>
      <c r="AM10" s="2">
        <v>4.5</v>
      </c>
      <c r="AN10" s="3" t="s">
        <v>102</v>
      </c>
      <c r="AO10" s="1" t="s">
        <v>70</v>
      </c>
      <c r="AP10" s="1" t="s">
        <v>57</v>
      </c>
    </row>
    <row r="11" spans="1:42" ht="20.100000000000001" customHeight="1">
      <c r="A11" s="1">
        <v>10</v>
      </c>
      <c r="B11" s="1" t="s">
        <v>103</v>
      </c>
      <c r="C11" s="1" t="s">
        <v>104</v>
      </c>
      <c r="D11" s="1" t="s">
        <v>44</v>
      </c>
      <c r="E11" s="6" t="str">
        <f>HYPERLINK("http://ddetail.co/?PacketNo=HV25-666","DNA")</f>
        <v>DNA</v>
      </c>
      <c r="F11" s="2">
        <v>1.5</v>
      </c>
      <c r="G11" s="1" t="s">
        <v>86</v>
      </c>
      <c r="H11" s="1" t="s">
        <v>80</v>
      </c>
      <c r="I11" s="1" t="s">
        <v>47</v>
      </c>
      <c r="J11" s="1" t="s">
        <v>47</v>
      </c>
      <c r="K11" s="1" t="s">
        <v>47</v>
      </c>
      <c r="L11" s="1" t="s">
        <v>48</v>
      </c>
      <c r="M11" s="6" t="str">
        <f>HYPERLINK("https://www.gia.edu/report-check?reportno=2235876841","GIA")</f>
        <v>GIA</v>
      </c>
      <c r="N11" s="2">
        <v>7.43</v>
      </c>
      <c r="O11" s="2">
        <v>7.39</v>
      </c>
      <c r="P11" s="2">
        <v>4.5199999999999996</v>
      </c>
      <c r="Q11" s="2">
        <v>60.9</v>
      </c>
      <c r="R11" s="9">
        <v>60</v>
      </c>
      <c r="S11" s="14"/>
      <c r="T11" s="11">
        <v>7000</v>
      </c>
      <c r="U11" s="12">
        <v>3640</v>
      </c>
      <c r="V11" s="12">
        <v>5460</v>
      </c>
      <c r="W11" s="1" t="s">
        <v>49</v>
      </c>
      <c r="X11" s="1" t="s">
        <v>50</v>
      </c>
      <c r="Y11" s="1" t="s">
        <v>50</v>
      </c>
      <c r="Z11" s="1" t="s">
        <v>50</v>
      </c>
      <c r="AA11" s="1" t="s">
        <v>50</v>
      </c>
      <c r="AB11" s="2">
        <v>33.5</v>
      </c>
      <c r="AC11" s="2">
        <v>13</v>
      </c>
      <c r="AD11" s="2">
        <v>41.8</v>
      </c>
      <c r="AE11" s="2">
        <v>44.5</v>
      </c>
      <c r="AF11" s="1" t="s">
        <v>51</v>
      </c>
      <c r="AG11" s="1" t="s">
        <v>52</v>
      </c>
      <c r="AH11" s="1" t="s">
        <v>105</v>
      </c>
      <c r="AI11" s="1" t="s">
        <v>106</v>
      </c>
      <c r="AJ11" s="1" t="s">
        <v>48</v>
      </c>
      <c r="AK11" s="2">
        <v>50</v>
      </c>
      <c r="AL11" s="2">
        <v>80</v>
      </c>
      <c r="AM11" s="2">
        <v>3</v>
      </c>
      <c r="AN11" s="3" t="s">
        <v>76</v>
      </c>
      <c r="AO11" s="1" t="s">
        <v>98</v>
      </c>
      <c r="AP11" s="1" t="s">
        <v>57</v>
      </c>
    </row>
    <row r="12" spans="1:42" ht="20.100000000000001" customHeight="1" thickBot="1">
      <c r="A12" s="1">
        <v>11</v>
      </c>
      <c r="B12" s="1" t="s">
        <v>107</v>
      </c>
      <c r="C12" s="1" t="s">
        <v>108</v>
      </c>
      <c r="D12" s="1" t="s">
        <v>44</v>
      </c>
      <c r="E12" s="6" t="str">
        <f>HYPERLINK("http://ddetail.co/?PacketNo=245874","DNA")</f>
        <v>DNA</v>
      </c>
      <c r="F12" s="2">
        <v>1.5</v>
      </c>
      <c r="G12" s="1" t="s">
        <v>86</v>
      </c>
      <c r="H12" s="1" t="s">
        <v>80</v>
      </c>
      <c r="I12" s="1" t="s">
        <v>47</v>
      </c>
      <c r="J12" s="1" t="s">
        <v>47</v>
      </c>
      <c r="K12" s="1" t="s">
        <v>47</v>
      </c>
      <c r="L12" s="1" t="s">
        <v>109</v>
      </c>
      <c r="M12" s="6" t="str">
        <f>HYPERLINK("https://www.gia.edu/report-check?reportno=6542027142","GIA")</f>
        <v>GIA</v>
      </c>
      <c r="N12" s="2">
        <v>7.29</v>
      </c>
      <c r="O12" s="2">
        <v>7.24</v>
      </c>
      <c r="P12" s="2">
        <v>4.55</v>
      </c>
      <c r="Q12" s="2">
        <v>62.7</v>
      </c>
      <c r="R12" s="9">
        <v>59</v>
      </c>
      <c r="S12" s="15"/>
      <c r="T12" s="11">
        <v>7000</v>
      </c>
      <c r="U12" s="12">
        <v>3640</v>
      </c>
      <c r="V12" s="12">
        <v>5460</v>
      </c>
      <c r="W12" s="1" t="s">
        <v>49</v>
      </c>
      <c r="X12" s="1" t="s">
        <v>61</v>
      </c>
      <c r="Y12" s="1" t="s">
        <v>50</v>
      </c>
      <c r="Z12" s="1" t="s">
        <v>61</v>
      </c>
      <c r="AA12" s="1" t="s">
        <v>61</v>
      </c>
      <c r="AB12" s="2">
        <v>35.5</v>
      </c>
      <c r="AC12" s="2">
        <v>15</v>
      </c>
      <c r="AD12" s="2">
        <v>41.2</v>
      </c>
      <c r="AE12" s="2">
        <v>43.5</v>
      </c>
      <c r="AF12" s="1" t="s">
        <v>51</v>
      </c>
      <c r="AG12" s="1" t="s">
        <v>52</v>
      </c>
      <c r="AH12" s="1" t="s">
        <v>110</v>
      </c>
      <c r="AI12" s="1" t="s">
        <v>54</v>
      </c>
      <c r="AJ12" s="1" t="s">
        <v>48</v>
      </c>
      <c r="AK12" s="2">
        <v>55</v>
      </c>
      <c r="AL12" s="2">
        <v>80</v>
      </c>
      <c r="AM12" s="2">
        <v>4</v>
      </c>
      <c r="AN12" s="3" t="s">
        <v>111</v>
      </c>
      <c r="AO12" s="1" t="s">
        <v>56</v>
      </c>
      <c r="AP12" s="1" t="s">
        <v>71</v>
      </c>
    </row>
  </sheetData>
  <mergeCells count="1">
    <mergeCell ref="S2:S12"/>
  </mergeCells>
  <pageMargins left="0.7" right="0.7" top="0.75" bottom="0.75" header="0.3" footer="0.3"/>
  <pageSetup orientation="portrait" r:id="rId1"/>
  <ignoredErrors>
    <ignoredError sqref="B1:T1 A13:XFD1048576 A2:R2 T2 A3:R12 T3:T12 W2:XFD2 W3:XFD12 W1:XFD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6fafa8-a38f-4658-822f-cde86d03ff4c" xsi:nil="true"/>
    <lcf76f155ced4ddcb4097134ff3c332f xmlns="1899973c-dc55-4b52-a471-73ccbd03a8a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4692D1DA9BF04384E06947DE24AF1B" ma:contentTypeVersion="11" ma:contentTypeDescription="Create a new document." ma:contentTypeScope="" ma:versionID="c80d7ac4e99c148a7578f7116fa32523">
  <xsd:schema xmlns:xsd="http://www.w3.org/2001/XMLSchema" xmlns:xs="http://www.w3.org/2001/XMLSchema" xmlns:p="http://schemas.microsoft.com/office/2006/metadata/properties" xmlns:ns2="1899973c-dc55-4b52-a471-73ccbd03a8aa" xmlns:ns3="c76fafa8-a38f-4658-822f-cde86d03ff4c" targetNamespace="http://schemas.microsoft.com/office/2006/metadata/properties" ma:root="true" ma:fieldsID="c85e3fd7d8d2a0fdb4721d2c7f060560" ns2:_="" ns3:_="">
    <xsd:import namespace="1899973c-dc55-4b52-a471-73ccbd03a8aa"/>
    <xsd:import namespace="c76fafa8-a38f-4658-822f-cde86d03f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9973c-dc55-4b52-a471-73ccbd03a8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d57409b-06e6-4501-ae54-dc18bd4315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6fafa8-a38f-4658-822f-cde86d03ff4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b2cdb5-af14-42e6-a49e-f36260a5497c}" ma:internalName="TaxCatchAll" ma:showField="CatchAllData" ma:web="c76fafa8-a38f-4658-822f-cde86d03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FB1240-8E0B-49B7-86BF-817D979A35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38AF42-D3CF-4986-9B24-9609E314589F}">
  <ds:schemaRefs>
    <ds:schemaRef ds:uri="http://schemas.microsoft.com/office/2006/metadata/properties"/>
    <ds:schemaRef ds:uri="http://schemas.microsoft.com/office/infopath/2007/PartnerControls"/>
    <ds:schemaRef ds:uri="c76fafa8-a38f-4658-822f-cde86d03ff4c"/>
    <ds:schemaRef ds:uri="1899973c-dc55-4b52-a471-73ccbd03a8aa"/>
  </ds:schemaRefs>
</ds:datastoreItem>
</file>

<file path=customXml/itemProps3.xml><?xml version="1.0" encoding="utf-8"?>
<ds:datastoreItem xmlns:ds="http://schemas.openxmlformats.org/officeDocument/2006/customXml" ds:itemID="{A18D8350-36AF-4EAD-A73C-3C88C6349F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99973c-dc55-4b52-a471-73ccbd03a8aa"/>
    <ds:schemaRef ds:uri="c76fafa8-a38f-4658-822f-cde86d03ff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KSHAUNISH HARSHA - 70472300007</cp:lastModifiedBy>
  <cp:revision/>
  <dcterms:created xsi:type="dcterms:W3CDTF">2026-04-30T11:05:43Z</dcterms:created>
  <dcterms:modified xsi:type="dcterms:W3CDTF">2026-05-25T15:47:38Z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0x010100224692D1DA9BF04384E06947DE24AF1B</vt:lpwstr>
  </property>
</Properties>
</file>